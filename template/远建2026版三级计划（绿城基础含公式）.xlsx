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7932"/>
  <workbookPr defaultThemeVersion="153222"/>
  <bookViews>
    <workbookView xWindow="-108" yWindow="-108" windowWidth="23256" windowHeight="12456" activeTab="1"/>
  </bookViews>
  <sheets>
    <sheet name="前置信息" sheetId="12" r:id="rId1"/>
    <sheet name="节点计划 (终稿)" sheetId="10" r:id="rId2"/>
    <sheet name="Sheet1" sheetId="11" r:id="rId3"/>
    <sheet name="Sheet2" sheetId="13" r:id="rId4"/>
  </sheets>
  <definedNames>
    <definedName name="_xlnm._FilterDatabase" localSheetId="1" hidden="1">'节点计划 (终稿)'!$A$3:$U$152</definedName>
  </definedNames>
  <calcPr calcId="191029"/>
</workbook>
</file>

<file path=xl/sharedStrings.xml><?xml version="1.0" encoding="utf-8"?>
<sst xmlns="http://schemas.openxmlformats.org/spreadsheetml/2006/main" uniqueCount="538" count="538">
  <si>
    <t>里程碑序号</t>
  </si>
  <si>
    <t>一级节点序号</t>
  </si>
  <si>
    <t>二级节点序号</t>
  </si>
  <si>
    <t>类别</t>
  </si>
  <si>
    <t>项目开发节点名称</t>
  </si>
  <si>
    <t>主责专业</t>
  </si>
  <si>
    <t>集团标准期量描述
（18F高层）</t>
  </si>
  <si>
    <t>集团标准期量描述
（4F及以下）</t>
  </si>
  <si>
    <t>集团标准期量描述
（6F叠拼）</t>
  </si>
  <si>
    <t>集团标准期量描述
（8F洋房）</t>
  </si>
  <si>
    <t>集团标准期量描述
（11F小高层）</t>
  </si>
  <si>
    <t>集团标准期量描述
（27F高层）</t>
  </si>
  <si>
    <t>集团标准期量描述
（33F高层）</t>
  </si>
  <si>
    <t>定义/成果/记录表单</t>
  </si>
  <si>
    <t>支持性文件</t>
  </si>
  <si>
    <t>一级</t>
  </si>
  <si>
    <t>代建合同签订</t>
  </si>
  <si>
    <t>发展</t>
  </si>
  <si>
    <t>代建合同签约文本</t>
  </si>
  <si>
    <t>取得《国有土地使用权证》</t>
  </si>
  <si>
    <t>前期</t>
  </si>
  <si>
    <t>《国有土地使用证》</t>
  </si>
  <si>
    <t>项目启动</t>
  </si>
  <si>
    <t>土地确权并定金支付</t>
  </si>
  <si>
    <t>基准点</t>
  </si>
  <si>
    <t xml:space="preserve">签约、支付首笔代建费定金、土地已确权     </t>
  </si>
  <si>
    <t>完成项目交底会</t>
  </si>
  <si>
    <t xml:space="preserve">T0后3天内    </t>
  </si>
  <si>
    <t>项目交底会报告及成果</t>
  </si>
  <si>
    <t>GTBG84100-2022《项目运营手册运营管理弦》</t>
  </si>
  <si>
    <t>完成项目定位会</t>
  </si>
  <si>
    <t>客研</t>
  </si>
  <si>
    <t xml:space="preserve">T0后10天内    </t>
  </si>
  <si>
    <t>项目市场分析及定位报告；集团定位评审会会议纪要；定位意见修改反馈 </t>
  </si>
  <si>
    <t>GTBO51000-2021《项目运营手册营销弦》</t>
  </si>
  <si>
    <t>规划、建筑设计合同签订</t>
  </si>
  <si>
    <t>设计</t>
  </si>
  <si>
    <t>1、规划建筑设计合同
2、规划建筑设计单位选择报告
3、设计供方考察报告（新供方）</t>
  </si>
  <si>
    <t>1、GTBG91100-2021 《规划设计类供方管理标准》
2、GTBO21100-2021 《项目运营手册设计弦之规划设计分弦》
3、GTBG92601-2018 《同步设计操作手册》
4、GTBG91100-2021 《规划设计供方管理标准 》</t>
  </si>
  <si>
    <t>二级</t>
  </si>
  <si>
    <t>精装设计单位选择及合同签订</t>
  </si>
  <si>
    <t>精装修</t>
  </si>
  <si>
    <t>T0后10天</t>
  </si>
  <si>
    <t>1、精装修设计合同
2、精装修设计单位选择报告
3、设计供方考察报告（新供方）</t>
  </si>
  <si>
    <t>1、GTBG91300-2021 《精装修设计类供方管理标准》
2、GTBO24100-2021 《项目运营手册设计弦之精装修设计分弦》
3、GTBG92601-2018 《同步设计操作手册》</t>
  </si>
  <si>
    <t>景观设计单位选择及合同签订</t>
  </si>
  <si>
    <t>景观</t>
  </si>
  <si>
    <t>1、景观设计合同
2、景观设计单位选择报告
3、设计供方考察报告（新供方）</t>
  </si>
  <si>
    <t>1、GTBG91200-2021 《景观设计类供方管理标准》
2、GTBO23100-2021 《项目运营手册设计弦之景观设计分弦》</t>
  </si>
  <si>
    <t>规划建筑设计任务书编制及修订</t>
  </si>
  <si>
    <t>规划建筑设计任务书。项目启动后10天内完成定位，30天完成方案设计</t>
  </si>
  <si>
    <t>1、GTBO21100-2021 《项目运营手册设计弦之规划设计分弦》</t>
  </si>
  <si>
    <t>营销</t>
  </si>
  <si>
    <t>选址和定位方案</t>
  </si>
  <si>
    <t>会议评审流转记录</t>
  </si>
  <si>
    <t>智能化设计单位选择及合同签订</t>
  </si>
  <si>
    <t>智能化</t>
  </si>
  <si>
    <t>1、智能化设计单位选择请示报告
2、智能化设计合同</t>
  </si>
  <si>
    <t>1、GTBO22100-2021《项目运营手册设计弦之专项设计分弦》</t>
  </si>
  <si>
    <t>专项设计（幕墙、门窗、基坑围护等）单位选择及合同签订</t>
  </si>
  <si>
    <t>1、幕墙门窗设计任务书
2、专项设计合同</t>
  </si>
  <si>
    <t xml:space="preserve">1、GTBG91100-2021 《规划设计类供方管理标准》
2、GTBO21100-2021 《项目运营手册设计弦之规划设计分弦》
3、GTBG92601-2018 《同步设计操作手册》                                 </t>
  </si>
  <si>
    <t>里程碑</t>
  </si>
  <si>
    <t>经营策划会</t>
  </si>
  <si>
    <t>运营</t>
  </si>
  <si>
    <t>T0后30天内</t>
  </si>
  <si>
    <t>项目经营策划会报告及成果</t>
  </si>
  <si>
    <t>地质详勘完成（首开区）</t>
  </si>
  <si>
    <t>工程</t>
  </si>
  <si>
    <t xml:space="preserve">T0后30天内    </t>
  </si>
  <si>
    <t>提供首开区阶段报告</t>
  </si>
  <si>
    <t>规划、建筑方案设计通过集团评审</t>
  </si>
  <si>
    <t>T0后35天</t>
  </si>
  <si>
    <t>1、《评审会议纪要》
2、《绿城管理集团图审核心点审查表》
3、《绿城管理集团定位复核审查表》
4、《项目设计规范及报批信息落实表》
5、《预评审意见表》
6、《意见落实情况表》
7、同步设计落实情况
8、修改完善的方案文本（必须含CAD、效果图）</t>
  </si>
  <si>
    <t>1、GTBO21100-2021 《项目运营手册设计弦之规划设计分弦》
2、GTBG92600-2018 《设计评审管理规定》
3、GTBG92601-2018 《同步设计操作手册》
4、GTBP13004-2020 《住宅项目建筑施工图评审要点》
5、GTBP5200X 《建筑工程营造工艺工法标准-XX篇》</t>
  </si>
  <si>
    <t>五通一平检查</t>
  </si>
  <si>
    <t xml:space="preserve">T0后40天内    </t>
  </si>
  <si>
    <t xml:space="preserve">现场五通一平检查表                             </t>
  </si>
  <si>
    <t>1、GTBO31100-2017B《项目运营手册工程弦之建安分弦》-《31108 五通一平节点标准》</t>
  </si>
  <si>
    <t>样板区景观方案设计完成并通过评审</t>
  </si>
  <si>
    <t>开放前150天</t>
  </si>
  <si>
    <t>1、GTBO23100-2021 《项目运营手册设计弦之景观设计分弦》；
2、GTBP33100-2020 《景观设计评审要点》；
3、各类管控主体《管理审批权限表》；</t>
  </si>
  <si>
    <t>拆迁完成</t>
  </si>
  <si>
    <t>T0后60天</t>
  </si>
  <si>
    <t>地块附着物拆迁完成移交施工</t>
  </si>
  <si>
    <t>营销团队到岗/广告公司确定</t>
  </si>
  <si>
    <t>首次开盘前180天</t>
  </si>
  <si>
    <t>方案和审批记录</t>
  </si>
  <si>
    <t>案名申请文件</t>
  </si>
  <si>
    <t>合约规划</t>
  </si>
  <si>
    <t>成本</t>
  </si>
  <si>
    <t>方案版目标成本审批后15天</t>
  </si>
  <si>
    <t>施工图版目标成本审批确定后一个月内
项目合约规划</t>
  </si>
  <si>
    <t>1、GTBO41100-2021  《项目运营手册成本弦》</t>
  </si>
  <si>
    <t>样板区精装修方案设计完成</t>
  </si>
  <si>
    <t>开放前140天</t>
  </si>
  <si>
    <t xml:space="preserve">1、GTBO24100-2021 《项目运营手册设计弦之精装修设计分弦》；  
2、GTBP43002-2020 《住宅类项目室内方案设计评审要点》；         
3、各类管控主体《管理审批权限表》； </t>
  </si>
  <si>
    <t>取得规划建筑设计方案批复</t>
  </si>
  <si>
    <t>T0后70天</t>
  </si>
  <si>
    <t>T0后75天</t>
  </si>
  <si>
    <t>方案批复文件</t>
  </si>
  <si>
    <t>基坑方案设计完成并评审</t>
  </si>
  <si>
    <t>方案批复后5天内</t>
  </si>
  <si>
    <t>1、评审会议纪要
2、预评审意见表
3、意见落实情况表
4、图纸资料</t>
  </si>
  <si>
    <t>1、GTBO21100-2021 《项目运营手册设计弦之规划设计分弦》
2、GTBG92004-2017 《建筑基坑及边坡工程管理标准》</t>
  </si>
  <si>
    <t>桩基施工图完成（首开区）</t>
  </si>
  <si>
    <t>方案批复后7天内</t>
  </si>
  <si>
    <t xml:space="preserve"> </t>
  </si>
  <si>
    <t>桩基工程合同签订</t>
  </si>
  <si>
    <t>方案批复后30天内</t>
  </si>
  <si>
    <t>合同流转完成，提交流程审批单</t>
  </si>
  <si>
    <t>1、GTBG91400-2020  《施工供方管理标准》</t>
  </si>
  <si>
    <t>售楼处建筑施工图完成</t>
  </si>
  <si>
    <t>开放前130天</t>
  </si>
  <si>
    <t>开放前120天</t>
  </si>
  <si>
    <t>完成施工图，提交工程施工；提供设计成果确认单</t>
  </si>
  <si>
    <t>售楼处开工</t>
  </si>
  <si>
    <t>开放前125天</t>
  </si>
  <si>
    <t>售楼处桩基或土方开始大面施工</t>
  </si>
  <si>
    <t>全景计划评审</t>
  </si>
  <si>
    <t>方案批复后15天内</t>
  </si>
  <si>
    <t>GTBO84100-2021《项目运营手册运营管理弦》</t>
  </si>
  <si>
    <t>样板区景观施工图设计完成并通过评审</t>
  </si>
  <si>
    <t>售楼处开放前125天</t>
  </si>
  <si>
    <t>样板房建筑施工图完成</t>
  </si>
  <si>
    <t>样板房开放前135天</t>
  </si>
  <si>
    <t>工程策划完成</t>
  </si>
  <si>
    <t>开工前15天</t>
  </si>
  <si>
    <t>经营策划会后15天</t>
  </si>
  <si>
    <t>1、工程策划书
2、目标责任分解表</t>
  </si>
  <si>
    <t>1、GTBO31100-2017B《项目运营手册工程弦之建安分弦》</t>
  </si>
  <si>
    <t>软装设计单位选择（含方案评审）</t>
  </si>
  <si>
    <t>售楼处开放前120天</t>
  </si>
  <si>
    <t>售楼处开放前90天</t>
  </si>
  <si>
    <t>开放前90天</t>
  </si>
  <si>
    <t>营销全案策略会</t>
  </si>
  <si>
    <t>首次开盘前150天</t>
  </si>
  <si>
    <t>首次开盘前120天</t>
  </si>
  <si>
    <t>营销全案策略评审纪要及相关成果</t>
  </si>
  <si>
    <t>《项目首次开盘方案》</t>
  </si>
  <si>
    <t>桩基施工完成（首开区）</t>
  </si>
  <si>
    <t>桩基工程合同签订后15天</t>
  </si>
  <si>
    <t>首开区桩基施工完成并具备土方开挖条件</t>
  </si>
  <si>
    <t>取得《建设工程规划许可证》</t>
  </si>
  <si>
    <t>方案批复后25天内</t>
  </si>
  <si>
    <t>方案批复后25天</t>
  </si>
  <si>
    <t>《建设工程规划许可证》</t>
  </si>
  <si>
    <t>全景计划指标委托方签确</t>
  </si>
  <si>
    <t>全景计划评审后10天内</t>
  </si>
  <si>
    <t>方案版目标成本审批完成</t>
  </si>
  <si>
    <t>方案批复后30天内
流程审批完成，提交流程审批单</t>
  </si>
  <si>
    <t>1、GTBO41100-2021 《项目运营手册成本弦》</t>
  </si>
  <si>
    <t>批量建筑施工图设计完成</t>
  </si>
  <si>
    <t>方案批复后30天</t>
  </si>
  <si>
    <t>1、评审会议纪要
2、施工图图审单位意见
3、图纸资料</t>
  </si>
  <si>
    <t>1、GTBO21100-2021 《项目运营手册设计弦之规划设计分弦》
2、GTBG92601-2018 《同步设计操作手册》
3、GTBP13004-2020 《住宅项目建筑施工图评审要点》
4、GTBP5200X 《建筑工程营造工艺工法标准-XX篇》</t>
  </si>
  <si>
    <t>总包及监理单位合同签订</t>
  </si>
  <si>
    <t>1、GTBG91400-2020《施工供方管理标准》</t>
  </si>
  <si>
    <t>建筑扩初设计完成</t>
  </si>
  <si>
    <t>1、评审会议纪要
2、绿城管理集团图审核心点审查表
3、预评审意见表
4、意见落实情况表
5、同步设计落实情况
6、图纸资料</t>
  </si>
  <si>
    <t>质监、安监手续办理完成</t>
  </si>
  <si>
    <t>取得《建设工程规划许可证》后5天</t>
  </si>
  <si>
    <t>取得质监站相应文件</t>
  </si>
  <si>
    <t>样板区精装修施工图设计完成</t>
  </si>
  <si>
    <t>售楼处开放前110天</t>
  </si>
  <si>
    <t>园区景观方案设计完成并通过评审</t>
  </si>
  <si>
    <t>规划设计方案批复后30天</t>
  </si>
  <si>
    <t>智能化方案设计完成</t>
  </si>
  <si>
    <t>1、评审会议纪要
2、意见落实情况表
3、智能化设计方案（修改后）</t>
  </si>
  <si>
    <t>1、GTBO22100-2021《项目运营手册设计弦之专项设计分弦》;
2、GTH8291-2018《住宅建筑智能化设计导则》</t>
  </si>
  <si>
    <t>外立面材料小样定样</t>
  </si>
  <si>
    <t>1、外立面材料选样记录表
2、影像资料</t>
  </si>
  <si>
    <t>总包单位进场</t>
  </si>
  <si>
    <t>总包单位合同签订后1天</t>
  </si>
  <si>
    <t>总包中标后10天</t>
  </si>
  <si>
    <t>临设搭建完成，主要施工人员进场</t>
  </si>
  <si>
    <t>场地移交、标高复核、水电移交</t>
  </si>
  <si>
    <t>总包进场后1天</t>
  </si>
  <si>
    <t>总包确定后3天</t>
  </si>
  <si>
    <t>1、GTBO31100-2017B《项目运营手册工程弦之建安分弦》-《31112 中标单位进场及开工准备节点标准》</t>
  </si>
  <si>
    <t>正式开工（开工）</t>
  </si>
  <si>
    <t>施工证取得同一天或事实开工</t>
  </si>
  <si>
    <t>施工证取得同一天</t>
  </si>
  <si>
    <t>开工时点默认为施工许可取得同一天
形象照片，桩基进场连续施工或土方大面积开挖</t>
  </si>
  <si>
    <t>取得《建筑工程施工许可证》</t>
  </si>
  <si>
    <t>《建设工程规划许可证》后7天</t>
  </si>
  <si>
    <t>取得《工程施工许可证》</t>
  </si>
  <si>
    <t>组织工程启动会</t>
  </si>
  <si>
    <t>工程启动会会议纪要</t>
  </si>
  <si>
    <t>1、GTBO31100-2017B《项目运营手册工程弦之建安分弦》-《31118 第一次工地会议节点标准》</t>
  </si>
  <si>
    <t>取得施工图审图合格证</t>
  </si>
  <si>
    <t>批量建筑施工图设计完成后3天</t>
  </si>
  <si>
    <t>批量建筑施工图设计完成后5天</t>
  </si>
  <si>
    <t>营销团队组建完成</t>
  </si>
  <si>
    <t>首次开盘前135天</t>
  </si>
  <si>
    <t>首次开盘前30天</t>
  </si>
  <si>
    <t>定价方案评审会议纪要</t>
  </si>
  <si>
    <t>项目价格表</t>
  </si>
  <si>
    <t>施工图会审及设计交底（各专业）</t>
  </si>
  <si>
    <t>总包确定后7天</t>
  </si>
  <si>
    <t>1、图纸内部审查意见记录表 ；
2、图纸会审纪要；</t>
  </si>
  <si>
    <t>1、GTBO31100-2017B《项目运营手册工程弦之建安分弦》-《31117 图纸会审节点标准》
2、GTBO21100-2021《项目运营手册设计弦之规设计分弦》
3、GTBG26200-2021 《责任追究管理办法》</t>
  </si>
  <si>
    <t>深基坑/高边坡施工方案专家评审</t>
  </si>
  <si>
    <t>总包确定后10天</t>
  </si>
  <si>
    <t>形成评审会议纪要</t>
  </si>
  <si>
    <t>超过一定规模的危险性较大的分部分项工程专项施工方案专家评审</t>
  </si>
  <si>
    <t>1、各类管控主体《管理审批权限表》；</t>
  </si>
  <si>
    <t>样板区精装修施工合同签订</t>
  </si>
  <si>
    <t>样板区景观施工合同签订</t>
  </si>
  <si>
    <t>案名发布/启动蓄客</t>
  </si>
  <si>
    <t>首次开盘前90天</t>
  </si>
  <si>
    <t>会议纪要</t>
  </si>
  <si>
    <t>批量内装方案设计完成</t>
  </si>
  <si>
    <t>规划设计方案批复后60天</t>
  </si>
  <si>
    <t>1、精装修方案设计成果；                                             
2、绿城管理集团图审核心点审查表 ；            
3、方案评审会会议纪要；</t>
  </si>
  <si>
    <t>园区景观扩初设计完成并通过评审</t>
  </si>
  <si>
    <t>景观方案后30天</t>
  </si>
  <si>
    <t xml:space="preserve">1、GTBP33100-2020 《景观设计评审要点》；                                                                  2、各类管控主体《管理审批权限表》;                                                                                     </t>
  </si>
  <si>
    <t>智能化施工图完成</t>
  </si>
  <si>
    <t>智能化方案后30天</t>
  </si>
  <si>
    <t>1、评审会议纪要
2、意见落实情况表
3、智能化施工图（修改后）</t>
  </si>
  <si>
    <t>外立面样板墙现场评审</t>
  </si>
  <si>
    <t>小样定样后30天</t>
  </si>
  <si>
    <t>1、评审会议纪要
2、影像资料</t>
  </si>
  <si>
    <t>售楼处土建施工完成</t>
  </si>
  <si>
    <t>售楼处开放前75天</t>
  </si>
  <si>
    <t>开放前75天</t>
  </si>
  <si>
    <t>施工完成，具备精装修大面施工条件，提供形象进度照片</t>
  </si>
  <si>
    <t>样板区软装合同签订（深化设计完成）</t>
  </si>
  <si>
    <t>户型发布/启动办卡</t>
  </si>
  <si>
    <t>售楼处开盘前90天</t>
  </si>
  <si>
    <t>售楼处开盘前30天</t>
  </si>
  <si>
    <t>开盘前30天</t>
  </si>
  <si>
    <t>合同约定交付时间确定</t>
  </si>
  <si>
    <t>批量内装施工图完成</t>
  </si>
  <si>
    <t>建筑施工图设计完成后60天</t>
  </si>
  <si>
    <t xml:space="preserve">1、GTBO24100-2021 项目运营手册设计弦之精装修设计分弦；
2、GTBP43004-2020 住宅类项目室内施工图设计评审要点 ； 
3、各类管控主体《管理审批权限表》； </t>
  </si>
  <si>
    <t>批量内装主要材料设备选型完成</t>
  </si>
  <si>
    <t>精装方案后30天</t>
  </si>
  <si>
    <t xml:space="preserve">1、主要材料设备选型成果；          
2、批量精装修主要材料设备选型会议纪要。            </t>
  </si>
  <si>
    <t xml:space="preserve">1、GTBO24100-2021 《项目运营手册设计弦之精装修设计分弦》； </t>
  </si>
  <si>
    <t>园区景观施工图设计完成并通过评审</t>
  </si>
  <si>
    <t>景观扩初后30天</t>
  </si>
  <si>
    <t>供配电设计合同签订</t>
  </si>
  <si>
    <t>批量施工图设计完成后60天</t>
  </si>
  <si>
    <t>供配电设计合同</t>
  </si>
  <si>
    <t>1、GTBO31100-2017B 《项目运营手册工程弦之建安工程分弦》</t>
  </si>
  <si>
    <t>桩基施工完成</t>
  </si>
  <si>
    <t>施工证取得后60天</t>
  </si>
  <si>
    <t>总体全部桩基施工完成并具备土方开挖条件</t>
  </si>
  <si>
    <t>结构完成至±0（首开区）</t>
  </si>
  <si>
    <t>首开区主体结构施工至±0</t>
  </si>
  <si>
    <t>施工图版目标成本审批完成（目标成本）</t>
  </si>
  <si>
    <t>审图完成后60天</t>
  </si>
  <si>
    <t>主体建安施工图设计完成后（以图审报告为准）45个工作日,且不迟于当期项目首次开盘前15个工作日内
1、流程审批完成，提交流程审批单
2、提供委托方确认单</t>
  </si>
  <si>
    <t>样板房土建施工完成</t>
  </si>
  <si>
    <t>样板房开放前50天</t>
  </si>
  <si>
    <t>样板房开放前60天</t>
  </si>
  <si>
    <t>施工完成，提供形象进度照片</t>
  </si>
  <si>
    <t>启动认筹</t>
  </si>
  <si>
    <t>首次开盘前60天</t>
  </si>
  <si>
    <t>售楼处装修施工完成</t>
  </si>
  <si>
    <t>开放前15天</t>
  </si>
  <si>
    <t>展示区景观施工完成</t>
  </si>
  <si>
    <t>开放前10天</t>
  </si>
  <si>
    <t>销售展示中心开放 （售楼处开放）</t>
  </si>
  <si>
    <t>营销/产品</t>
  </si>
  <si>
    <t>流程审批单/销展中心开放</t>
  </si>
  <si>
    <t>物业服务单位确定</t>
  </si>
  <si>
    <t>首开前30天</t>
  </si>
  <si>
    <t>《前期物业服务合同》审批
编制《前期物业服务方案》、《前期物业服务协议》、《临时管理规约》、《业主之约》</t>
  </si>
  <si>
    <t>1、GTBO61100-2021 《项目运营手册服务弦》</t>
  </si>
  <si>
    <t>开盘前专项风险评估会</t>
  </si>
  <si>
    <t>客服</t>
  </si>
  <si>
    <t>开盘前评估会议纪要</t>
  </si>
  <si>
    <t>1、GTBO84100-2021 表06项目（首次）开盘前品牌风险评估表
2、GTBO84100-2021 表07项目（首次）开盘前品牌风险评估决议表</t>
  </si>
  <si>
    <t>首次开盘方案评审</t>
  </si>
  <si>
    <t>方案评审会议纪要</t>
  </si>
  <si>
    <t>销售合同模板审批</t>
  </si>
  <si>
    <t>销售合同模板审批完成</t>
  </si>
  <si>
    <t>样板房装修施工完成</t>
  </si>
  <si>
    <t>样板区/房验收（景观、精装修、交付样板等）</t>
  </si>
  <si>
    <t>首次开盘前25天</t>
  </si>
  <si>
    <t>首次开盘前40天</t>
  </si>
  <si>
    <t>样板房/区开放申请表、评价表、评分表（景观、精装修、交付样板等）</t>
  </si>
  <si>
    <t>1、GTBG26200-2021 《责任追究管理办法》；  
2、GTBG92003-2020 《样板营造管理标准》；</t>
  </si>
  <si>
    <t>首个样板房/区开放（样板区开放）</t>
  </si>
  <si>
    <t>首次开盘前15天</t>
  </si>
  <si>
    <t>验收表、品牌方案存档</t>
  </si>
  <si>
    <t>主体结构达预售条件</t>
  </si>
  <si>
    <t>T0后225天</t>
  </si>
  <si>
    <t>《预售许可证》</t>
  </si>
  <si>
    <t>取得首批次《预售许可证》</t>
  </si>
  <si>
    <t>首开前10天</t>
  </si>
  <si>
    <t>重大信息通报/形象进度照片</t>
  </si>
  <si>
    <t>一房一价会</t>
  </si>
  <si>
    <t>首次开盘前7天</t>
  </si>
  <si>
    <t>项目首开</t>
  </si>
  <si>
    <t>T0后240天</t>
  </si>
  <si>
    <t>取得预售许可证并第一次对外销售，首开去化率/重大信息上报</t>
  </si>
  <si>
    <t>供配电图纸审查</t>
  </si>
  <si>
    <t>设计合同签订后90天</t>
  </si>
  <si>
    <t>图纸封面照片（盖有审图章）</t>
  </si>
  <si>
    <t>首开区主体结构结顶</t>
  </si>
  <si>
    <t>首开区结构完成至±0后40天</t>
  </si>
  <si>
    <t>首开区结构完成至±0后50天</t>
  </si>
  <si>
    <t>首开区结构完成至±0后70天</t>
  </si>
  <si>
    <t>首开区结构完成至±0后210天</t>
  </si>
  <si>
    <t>首开区结构完成至±0后240天</t>
  </si>
  <si>
    <t>首开全部楼栋主体结构封顶，形象进度照片</t>
  </si>
  <si>
    <t>开盘后评估</t>
  </si>
  <si>
    <t>首次开盘后30天内</t>
  </si>
  <si>
    <t>汇报成果及会议纪要</t>
  </si>
  <si>
    <t>供配电施工合同签订</t>
  </si>
  <si>
    <t>供配电图纸后90天</t>
  </si>
  <si>
    <t>完成整体正负零施工</t>
  </si>
  <si>
    <t>T0后420天</t>
  </si>
  <si>
    <t>形象进度照片</t>
  </si>
  <si>
    <t>主体达到 1/2 层高</t>
  </si>
  <si>
    <t>正负零后50天</t>
  </si>
  <si>
    <t>正负零后30天</t>
  </si>
  <si>
    <t>正负零后40天</t>
  </si>
  <si>
    <t>全部楼栋主体结构达到1/2，形象进度照片</t>
  </si>
  <si>
    <t>主体结构封顶</t>
  </si>
  <si>
    <t>T0后585</t>
  </si>
  <si>
    <t>T0后510天</t>
  </si>
  <si>
    <t>T0后520天</t>
  </si>
  <si>
    <t>T0后540天</t>
  </si>
  <si>
    <t>T0后660天</t>
  </si>
  <si>
    <t>T0后690天</t>
  </si>
  <si>
    <t>全部楼栋主体结构封顶，形象进度照片</t>
  </si>
  <si>
    <t>批量/公区精装修工程合同签订</t>
  </si>
  <si>
    <t>主体结构封顶后10天</t>
  </si>
  <si>
    <t>大区景观工程合同签订</t>
  </si>
  <si>
    <t>主体结构封顶后30天</t>
  </si>
  <si>
    <t>室外综合管线图设计完成</t>
  </si>
  <si>
    <t>图纸经设计、前期、景观、工程会审完成</t>
  </si>
  <si>
    <t>二次结构、墙体砌筑完成</t>
  </si>
  <si>
    <t>主体结构封顶后45天</t>
  </si>
  <si>
    <t>墙体砌筑完成，提供形象进度照片</t>
  </si>
  <si>
    <t>主体结构验收</t>
  </si>
  <si>
    <t>主体结构封顶后60天</t>
  </si>
  <si>
    <t>全部楼栋主体结构封顶并验收完成</t>
  </si>
  <si>
    <t>屋面工程施工</t>
  </si>
  <si>
    <t>主体主体结构封顶后160天</t>
  </si>
  <si>
    <t>形象进度照片及重大事件通知</t>
  </si>
  <si>
    <t>批量内装启动会</t>
  </si>
  <si>
    <t>1、交底记录表；
2、精装启动会会议纪要；
3、专项施工方案</t>
  </si>
  <si>
    <t>1、GTBG26200-2021 《责任追究管理办法》；
2、GTBO33100-2021 《项目运营手册工程弦之精装修工程分弦》；
3、GTBP42001-2017 《精装修工程施工技术标准》；</t>
  </si>
  <si>
    <t>批量内装施工专项方案确认</t>
  </si>
  <si>
    <t>主体结构封顶后90天</t>
  </si>
  <si>
    <t>1、防水施工方案；
2、石材干挂（湿贴）施工方案；
3、墙面瓷砖施工方案；
4、跃层钢楼梯施工方案；
5、施工方案审批表。</t>
  </si>
  <si>
    <t>完成外墙装饰工程施工</t>
  </si>
  <si>
    <t>主体结构封顶后100天</t>
  </si>
  <si>
    <t>室内电梯启用</t>
  </si>
  <si>
    <t>主体结构封顶后150天</t>
  </si>
  <si>
    <t>室内电梯启用，提供形象进度照片</t>
  </si>
  <si>
    <t>主体主体结构封顶后140天</t>
  </si>
  <si>
    <t>主体主体结构封顶后190天</t>
  </si>
  <si>
    <t>主体主体结构封顶后210天</t>
  </si>
  <si>
    <t>形象进度</t>
  </si>
  <si>
    <t>主体结构封顶后160天</t>
  </si>
  <si>
    <t>塔吊拆除，提供形象进度照片</t>
  </si>
  <si>
    <t>景观工程启动会完成</t>
  </si>
  <si>
    <t>外架拆除后10天</t>
  </si>
  <si>
    <t>1、交底记录表；
2、景观启动会会议纪要。</t>
  </si>
  <si>
    <t>1、GTBO32100-2021 《项目运营手册工程弦之景观工程分弦》 ；
2、GTBO32100-2021 附录 01；</t>
  </si>
  <si>
    <t>景观主要材料及施工样板评审完成</t>
  </si>
  <si>
    <t>1、主要材料确认表；
2、专项交底记录表；
3、样板效果评审记录表。</t>
  </si>
  <si>
    <t xml:space="preserve">1、GTBO32100-2021 《项目运营手册工程弦之景观工程分弦》；                                                                                 </t>
  </si>
  <si>
    <t>完成人货梯拆除</t>
  </si>
  <si>
    <t>主体结构封顶后170天</t>
  </si>
  <si>
    <t>人货梯拆除，提供形象进度照片</t>
  </si>
  <si>
    <t>批量内装隐蔽工程（预埋、防水、基层）</t>
  </si>
  <si>
    <t>竣备前150天</t>
  </si>
  <si>
    <t>1、见证点检查/验收表；
2、影像资料。</t>
  </si>
  <si>
    <t>1、GTBO33100-2021 《项目运营手册工程弦之精装修工程分弦》；</t>
  </si>
  <si>
    <t>批量内装湿作业</t>
  </si>
  <si>
    <t>竣备前120天</t>
  </si>
  <si>
    <t>地形粗整形完成</t>
  </si>
  <si>
    <t>外架拆除后60天</t>
  </si>
  <si>
    <t xml:space="preserve">1、GTBO32100-2021  《项目运营手册工程弦之景观工程分弦》；                                                                                                     </t>
  </si>
  <si>
    <t>景观乔木种植完成</t>
  </si>
  <si>
    <t>地形整形后30天</t>
  </si>
  <si>
    <t>批量内装涂饰工程</t>
  </si>
  <si>
    <t>竣备前70天</t>
  </si>
  <si>
    <t>配电专项竣工验收</t>
  </si>
  <si>
    <t>消防验收前40天</t>
  </si>
  <si>
    <t>配电专项竣工验收单</t>
  </si>
  <si>
    <t>完成公区精装修</t>
  </si>
  <si>
    <t>竣备前60天</t>
  </si>
  <si>
    <t>室外综合管线施工完成</t>
  </si>
  <si>
    <t>外架拆除后120天</t>
  </si>
  <si>
    <t>管道施工完成（含雨污水、自来水、强电、燃气等），提供形象进度照片</t>
  </si>
  <si>
    <t>景观硬质面层施工完成</t>
  </si>
  <si>
    <t>乔木种植后30天</t>
  </si>
  <si>
    <t>1、饰面施工效果评审记录表；
2、专项交底记录表；
3、景观石材饰面电脑排版确认单；
4、材料进场验收单；
5、过程管理记录表。</t>
  </si>
  <si>
    <t xml:space="preserve">1、GTBO32100-2021 《项目运营手册工程弦之景观工程分弦》；
2、GTBP32001-2017 《景观标准工艺工法》；  </t>
  </si>
  <si>
    <t>完成市政及景观工程</t>
  </si>
  <si>
    <t>1、GTBO32100-2021 《项目运营手册工程弦之景观工程分弦》；</t>
  </si>
  <si>
    <t>批量内装饰面安装（厨柜、木作、地板、五金、机电等）</t>
  </si>
  <si>
    <t>竣备前45天</t>
  </si>
  <si>
    <t>正式通水</t>
  </si>
  <si>
    <t>消防验收前20天</t>
  </si>
  <si>
    <t>正式通电</t>
  </si>
  <si>
    <t>景观工程预验收完成</t>
  </si>
  <si>
    <t>竣备前30天</t>
  </si>
  <si>
    <t>景观工程竣工及预验收记录表</t>
  </si>
  <si>
    <t>完成精装修交付项目内装施工</t>
  </si>
  <si>
    <t>取得《规划验收许可证》</t>
  </si>
  <si>
    <t>竣备前20天</t>
  </si>
  <si>
    <t>《规划验收许可证》</t>
  </si>
  <si>
    <t>取得《消防验收许可证》</t>
  </si>
  <si>
    <t>《消防验收许可证》</t>
  </si>
  <si>
    <t>取得《人防工程质量验收合格证》</t>
  </si>
  <si>
    <t>《人防工程质量验收合格证》</t>
  </si>
  <si>
    <t>一房五验(施工方/监理方/项目团队/物业/客户代表)</t>
  </si>
  <si>
    <t>交付前75天</t>
  </si>
  <si>
    <t>验收报告</t>
  </si>
  <si>
    <t>通过质监竣工验收</t>
  </si>
  <si>
    <t>竣备前15天</t>
  </si>
  <si>
    <t>质监竣工验收单</t>
  </si>
  <si>
    <t>取得《竣工验收备案证》</t>
  </si>
  <si>
    <t>交付前60天</t>
  </si>
  <si>
    <t>取得政府竣工备案证</t>
  </si>
  <si>
    <t>首次交付方案评审</t>
  </si>
  <si>
    <t>正式交付前60天</t>
  </si>
  <si>
    <t>首次交付方案评审会议纪要</t>
  </si>
  <si>
    <t>交付前品质与风险综合评估</t>
  </si>
  <si>
    <t>营销/设计/工程</t>
  </si>
  <si>
    <t>交付前30天</t>
  </si>
  <si>
    <t>交付前联合巡查报告及整改回复</t>
  </si>
  <si>
    <t>交付方案审议与演练</t>
  </si>
  <si>
    <t>方案和评审记录</t>
  </si>
  <si>
    <t>预结版目标成本审批完成</t>
  </si>
  <si>
    <t>交付前10天</t>
  </si>
  <si>
    <t>分期项目竣工交付前5个工作日
流程审批完成，提交流程审批单</t>
  </si>
  <si>
    <t>项目计划交付</t>
  </si>
  <si>
    <t>T0+975</t>
  </si>
  <si>
    <t>T0+900</t>
  </si>
  <si>
    <t>T0+930</t>
  </si>
  <si>
    <t>T0+1050</t>
  </si>
  <si>
    <t>T0+1080</t>
  </si>
  <si>
    <t>一次收房交付率</t>
  </si>
  <si>
    <t>合同交付</t>
  </si>
  <si>
    <t>计划交付后90天</t>
  </si>
  <si>
    <t>交付后评估</t>
  </si>
  <si>
    <t>正式交付后90天</t>
  </si>
  <si>
    <t>项目后评估报告</t>
  </si>
  <si>
    <t>1、GTBG26200-2021 《责任追究管理办法》；
2、GTBP82003-2019《住宅产品工程实测实量技术规范》；
3、GTBP82001-2017《建筑安装工程成品保护办法》；
4、GTBP5200X 《建筑工程营造工艺工法标准-XX篇》；</t>
  </si>
  <si>
    <t>房地产初始登记完成</t>
  </si>
  <si>
    <t>取得产权初始登记证</t>
  </si>
  <si>
    <t>工程结算（总包、精装修、景观）</t>
  </si>
  <si>
    <t>竣备后180天</t>
  </si>
  <si>
    <t>流程审批完成，提交流程审批单</t>
  </si>
  <si>
    <t>结算版成本审批完成</t>
  </si>
  <si>
    <t>工程结算后5天</t>
  </si>
  <si>
    <t>分期结算完成3个工作日内
流程审批完成，提交流程审批单</t>
  </si>
  <si>
    <t>项目解约/终止、清算</t>
  </si>
  <si>
    <t>运营/法务</t>
  </si>
  <si>
    <t>正式交付后180天</t>
  </si>
  <si>
    <t>1、GTBG63200-2017 《项目退出管理标准》</t>
  </si>
  <si>
    <t>注：1、里程碑节点为集团重点管控节点。2、期量模型按照精装竣备、交付。</t>
  </si>
  <si>
    <t>工期</t>
  </si>
  <si>
    <t>完成样板房/区、销展中心定位及选址</t>
  </si>
  <si>
    <t>工程/营销/设计</t>
  </si>
  <si>
    <t>完成塔吊拆除</t>
  </si>
  <si>
    <t>完成外架/吊篮拆除</t>
  </si>
  <si>
    <t>三级</t>
  </si>
  <si>
    <t>外立面深化图设计完成</t>
  </si>
  <si>
    <t>设计</t>
  </si>
  <si>
    <t>批量建筑施工图完成后60天</t>
  </si>
  <si>
    <t>工程</t>
  </si>
  <si>
    <t>总包重计量完成</t>
  </si>
  <si>
    <t>成本</t>
  </si>
  <si>
    <r>
      <t>解约协议、</t>
    </r>
    <r>
      <rPr>
        <charset val="134"/>
        <sz val="10"/>
        <color rgb="FF000000"/>
        <rFont val="微软雅黑"/>
      </rPr>
      <t>清算凭证</t>
    </r>
  </si>
  <si>
    <t>三级</t>
  </si>
  <si>
    <t>1、GTBO21100-2021 《项目运营手册设计弦之规划设计分弦》
2、GTBG92600-2018 《设计评审管理规定》
3、GTBG92601-2018 《同步设计操作手册》
4、GTBP13003-2020 《住宅项目建筑初步设计评审要点》</t>
  </si>
  <si>
    <t>方案批复后15天内</t>
  </si>
  <si>
    <t>履约版完成时间</t>
  </si>
  <si>
    <t>考核版完成时间</t>
  </si>
  <si>
    <t>项目内控开始时间</t>
  </si>
  <si>
    <t>项目内控完成时间</t>
  </si>
  <si>
    <t>计划模板工期完成时间（仅供参考，含批量精装）</t>
  </si>
  <si>
    <t>室内外改造完成（含精装、软装）</t>
  </si>
  <si>
    <t>粗装修完成</t>
  </si>
  <si>
    <t>联合验收完成</t>
  </si>
  <si>
    <t>工程/前期</t>
  </si>
  <si>
    <t>首开区结构完成至±0后105天</t>
  </si>
  <si>
    <t>智能化方案后25天</t>
  </si>
  <si>
    <t>项目里程碑节点、一级节点、二级节点清单（2026）</t>
  </si>
  <si>
    <t>地下室层数</t>
  </si>
  <si>
    <t>桩基形式</t>
  </si>
  <si>
    <t>灌注桩</t>
  </si>
  <si>
    <t>管桩</t>
  </si>
  <si>
    <t>管桩</t>
  </si>
  <si>
    <t>有无开发贷</t>
  </si>
  <si>
    <t>水平支撑层数</t>
  </si>
  <si>
    <t>首开示范区面积</t>
  </si>
  <si>
    <t>小于7000㎡</t>
  </si>
  <si>
    <t>小于7000㎡</t>
  </si>
  <si>
    <t>大于7000㎡</t>
  </si>
  <si>
    <t>地上最高层数</t>
  </si>
  <si>
    <t>容积率</t>
  </si>
  <si>
    <t>小于2.5</t>
  </si>
  <si>
    <t>小于2.5</t>
  </si>
  <si>
    <t>大于2.5</t>
  </si>
  <si>
    <t>有</t>
  </si>
  <si>
    <t>有</t>
  </si>
  <si>
    <t>无</t>
  </si>
  <si>
    <t>无</t>
  </si>
  <si>
    <t>有无架空层</t>
  </si>
  <si>
    <t>交付形式</t>
  </si>
  <si>
    <t>毛坯</t>
  </si>
  <si>
    <t>精装</t>
  </si>
  <si>
    <t>精装</t>
  </si>
  <si>
    <t>有无户内改造</t>
  </si>
  <si>
    <t>外立面形式</t>
  </si>
  <si>
    <t>保温涂料</t>
  </si>
  <si>
    <t>保温涂料</t>
  </si>
  <si>
    <t>保温涂料+铝板</t>
  </si>
  <si>
    <t>配套验收证明</t>
  </si>
  <si>
    <t>施工图完成后150天</t>
  </si>
  <si>
    <t>主体结构验收后90天</t>
  </si>
  <si>
    <t>竣备后60天</t>
  </si>
  <si>
    <t>1、骨架乔木种植效果评审记录表；
2、苗木进场验收记录表；
3、过程管理记录表。</t>
  </si>
  <si>
    <t xml:space="preserve">1、GTBO32100-2021 《项目运营手册工程弦之景观工程分弦》；
2、GTBP32001-2017 《景观标准工艺工法》；  </t>
  </si>
  <si>
    <t>1、土方造型效果评审记录表；
2、过程管理记录表。</t>
  </si>
  <si>
    <t>1、精装修施工图成果  ；
2、绿城管理集团图审核心点审查表；
3、精装修施工图评审会会议纪要 ；
4、精装修材料的封样；</t>
  </si>
  <si>
    <t>1、大区景观扩初设计成果；
2、大区景观扩初设计预评审会议纪要；
3、大区景观扩初设计评审会议纪要；
4、绿城管理集团图审核心点审查表；</t>
  </si>
  <si>
    <t>1、工程开工准备工作计划；
2、工程场地移交验收表；
3、 施工准备工作完成情况检查表。</t>
  </si>
  <si>
    <t>1、精装修样板区施工图设计成果  ；
2、绿城管理集团图审核心点审查表；
3、样板区施工图评审会会议纪要 ；
4、精装修材料的封样；</t>
  </si>
  <si>
    <t>1、景观样板区方案设计成果；
2、样板区方案评审会会议纪要；
3、绿城管理集团图审核心点审查表；</t>
  </si>
  <si>
    <t>1、样板区精装修方案设计成果；
2、绿城管理集团图审核心点审查表 ；
3、方案评审会会议纪要；</t>
  </si>
  <si>
    <t xml:space="preserve">1、GTBO24100-2021 《项目运营手册设计弦之精装修设计分弦》；
2、GTBP43002-2020 《住宅类项目室内方案设计评审要点》；
3、各类管控主体《管理审批权限表》； </t>
  </si>
  <si>
    <t xml:space="preserve">1、GTBO23100-2021 《项目运营手册设计弦之景观设计分弦》；                                                                 2、GTBP33100-2020 《景观设计评审要点》；
3、各类管控主体《管理审批权限表》；
4、GTBP34001-2017 《景观重要节点标准图集》；                                                                                                              </t>
  </si>
  <si>
    <t>1、景观样板区施工图设计成果；
2、景观样板区施工图评审会会议纪要；
3、绿城管理集团图审核心点审查表；</t>
  </si>
  <si>
    <t xml:space="preserve">1、GTBO24100-2021 《项目运营手册设计弦之精装修设计分弦》； 
2、GTBP43004-2020 《住宅类项目室内施工图设计评审要点 》
3、各类管控主体《管理审批权限表》； </t>
  </si>
</sst>
</file>

<file path=xl/styles.xml><?xml version="1.0" encoding="utf-8"?>
<styleSheet xmlns="http://schemas.openxmlformats.org/spreadsheetml/2006/main">
  <numFmts count="5">
    <numFmt numFmtId="0" formatCode="General"/>
    <numFmt numFmtId="165" formatCode="yyyy/m/d;@"/>
    <numFmt numFmtId="14" formatCode="yyyy/m/d"/>
    <numFmt numFmtId="164" formatCode="yy/m/d"/>
    <numFmt numFmtId="166" formatCode="0_ "/>
  </numFmts>
  <fonts count="17">
    <font>
      <name val="等线"/>
      <sz val="11"/>
    </font>
    <font>
      <name val="等线"/>
      <charset val="134"/>
      <sz val="11"/>
      <color indexed="8"/>
    </font>
    <font>
      <name val="等线"/>
      <charset val="134"/>
      <sz val="11"/>
      <color indexed="8"/>
    </font>
    <font>
      <name val="微软雅黑"/>
      <charset val="134"/>
      <sz val="12"/>
    </font>
    <font>
      <name val="微软雅黑"/>
      <charset val="134"/>
      <sz val="10"/>
    </font>
    <font>
      <name val="微软雅黑"/>
      <charset val="134"/>
      <sz val="11"/>
    </font>
    <font>
      <name val="微软雅黑"/>
      <charset val="134"/>
      <sz val="10"/>
    </font>
    <font>
      <name val="微软雅黑"/>
      <charset val="134"/>
      <sz val="22"/>
    </font>
    <font>
      <name val="微软雅黑"/>
      <b/>
      <charset val="134"/>
      <sz val="10"/>
    </font>
    <font>
      <name val="微软雅黑"/>
      <b/>
      <charset val="134"/>
      <sz val="9"/>
    </font>
    <font>
      <name val="微软雅黑"/>
      <charset val="134"/>
      <sz val="10"/>
      <color rgb="FFFF0000"/>
    </font>
    <font>
      <name val="微软雅黑"/>
      <charset val="134"/>
      <sz val="10"/>
      <color rgb="FF000000"/>
    </font>
    <font>
      <name val="微软雅黑"/>
      <b/>
      <charset val="134"/>
      <sz val="10"/>
    </font>
    <font>
      <name val="微软雅黑"/>
      <charset val="134"/>
      <sz val="10"/>
      <color rgb="FF000000"/>
    </font>
    <font>
      <name val="等线"/>
      <charset val="134"/>
      <sz val="11"/>
    </font>
    <font>
      <name val="等线"/>
      <charset val="134"/>
      <sz val="10"/>
      <color indexed="8"/>
    </font>
    <font>
      <name val="宋体"/>
      <charset val="134"/>
      <sz val="11"/>
      <color indexed="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6" fillId="0" borderId="0">
      <alignment vertical="top"/>
      <protection locked="0" hidden="0"/>
    </xf>
  </cellStyleXfs>
  <cellXfs count="122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1" fillId="0" borderId="1" xfId="0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1" fillId="0" borderId="0" xfId="0" applyBorder="1">
      <alignment vertical="center"/>
      <protection locked="0" hidden="0"/>
    </xf>
    <xf numFmtId="0" fontId="1" fillId="0" borderId="0" xfId="0">
      <alignment vertical="center"/>
      <protection locked="0" hidden="0"/>
    </xf>
    <xf numFmtId="165" fontId="1" fillId="0" borderId="0" xfId="0" applyNumberFormat="1">
      <alignment vertical="center"/>
      <protection locked="0" hidden="0"/>
    </xf>
    <xf numFmtId="0" fontId="1" fillId="0" borderId="0" xfId="0" applyAlignment="1">
      <alignment horizontal="left" vertical="center" wrapText="1"/>
      <protection locked="0" hidden="0"/>
    </xf>
    <xf numFmtId="0" fontId="1" fillId="0" borderId="0" xfId="0" applyAlignment="1">
      <alignment vertical="center" wrapText="1"/>
      <protection locked="0" hidden="0"/>
    </xf>
    <xf numFmtId="0" fontId="3" fillId="0" borderId="1" xfId="0" applyFont="1" applyBorder="1" applyAlignment="1">
      <alignment vertical="center" wrapText="1"/>
      <protection locked="0" hidden="0"/>
    </xf>
    <xf numFmtId="0" fontId="4" fillId="0" borderId="1" xfId="0" applyFont="1" applyBorder="1">
      <alignment vertical="center"/>
      <protection locked="0" hidden="0"/>
    </xf>
    <xf numFmtId="0" fontId="5" fillId="0" borderId="1" xfId="0" applyFont="1" applyBorder="1" applyAlignment="1">
      <alignment horizontal="center" vertical="bottom" wrapText="1"/>
      <protection locked="0" hidden="0"/>
    </xf>
    <xf numFmtId="165" fontId="5" fillId="0" borderId="1" xfId="0" applyNumberFormat="1" applyFont="1" applyBorder="1" applyAlignment="1">
      <alignment vertical="bottom" wrapText="1"/>
      <protection locked="0" hidden="0"/>
    </xf>
    <xf numFmtId="14" fontId="5" fillId="0" borderId="1" xfId="0" applyNumberFormat="1" applyFont="1" applyBorder="1" applyAlignment="1">
      <alignment vertical="bottom" wrapText="1"/>
      <protection locked="0" hidden="0"/>
    </xf>
    <xf numFmtId="0" fontId="5" fillId="0" borderId="1" xfId="0" applyFont="1" applyBorder="1" applyAlignment="1">
      <alignment horizontal="left" vertical="bottom" wrapText="1"/>
      <protection locked="0" hidden="0"/>
    </xf>
    <xf numFmtId="0" fontId="5" fillId="0" borderId="1" xfId="0" applyFont="1" applyBorder="1" applyAlignment="1">
      <alignment vertical="bottom" wrapText="1"/>
      <protection locked="0" hidden="0"/>
    </xf>
    <xf numFmtId="0" fontId="6" fillId="0" borderId="1" xfId="0" applyFont="1" applyBorder="1" applyAlignment="1">
      <alignment vertical="bottom" wrapText="1"/>
      <protection locked="0" hidden="0"/>
    </xf>
    <xf numFmtId="0" fontId="7" fillId="0" borderId="1" xfId="0" applyFont="1" applyBorder="1" applyAlignment="1">
      <alignment horizontal="center" vertical="center" wrapText="1"/>
      <protection locked="0" hidden="0"/>
    </xf>
    <xf numFmtId="165" fontId="4" fillId="0" borderId="1" xfId="0" applyNumberFormat="1" applyFont="1" applyBorder="1">
      <alignment vertical="center"/>
      <protection locked="0" hidden="0"/>
    </xf>
    <xf numFmtId="0" fontId="4" fillId="0" borderId="1" xfId="0" applyFont="1" applyBorder="1" applyAlignment="1">
      <alignment horizontal="left" vertical="center"/>
      <protection locked="0" hidden="0"/>
    </xf>
    <xf numFmtId="0" fontId="6" fillId="0" borderId="1" xfId="0" applyFont="1" applyBorder="1" applyAlignment="1">
      <alignment horizontal="center" vertical="center" wrapText="1"/>
      <protection locked="0" hidden="0"/>
    </xf>
    <xf numFmtId="0" fontId="8" fillId="0" borderId="1" xfId="0" applyFont="1" applyBorder="1" applyAlignment="1">
      <alignment horizontal="center" vertical="center" wrapText="1"/>
      <protection locked="0" hidden="0"/>
    </xf>
    <xf numFmtId="0" fontId="8" fillId="2" borderId="1" xfId="0" applyFont="1" applyFill="1" applyBorder="1" applyAlignment="1">
      <alignment horizontal="center" vertical="center" wrapText="1"/>
      <protection locked="0" hidden="0"/>
    </xf>
    <xf numFmtId="165" fontId="8" fillId="2" borderId="1" xfId="0" applyNumberFormat="1" applyFont="1" applyFill="1" applyBorder="1" applyAlignment="1">
      <alignment horizontal="center" vertical="center" wrapText="1"/>
      <protection locked="0" hidden="0"/>
    </xf>
    <xf numFmtId="165" fontId="8" fillId="0" borderId="1" xfId="0" applyNumberFormat="1" applyFont="1" applyBorder="1" applyAlignment="1">
      <alignment horizontal="center" vertical="center" wrapText="1"/>
      <protection locked="0" hidden="0"/>
    </xf>
    <xf numFmtId="165" fontId="9" fillId="0" borderId="1" xfId="0" applyNumberFormat="1" applyFont="1" applyBorder="1" applyAlignment="1">
      <alignment horizontal="center" vertical="center" wrapText="1"/>
      <protection locked="0" hidden="0"/>
    </xf>
    <xf numFmtId="0" fontId="8" fillId="0" borderId="1" xfId="0" applyFont="1" applyBorder="1" applyAlignment="1">
      <alignment horizontal="left" vertical="center" wrapText="1"/>
      <protection locked="0" hidden="0"/>
    </xf>
    <xf numFmtId="164" fontId="6" fillId="3" borderId="1" xfId="0" applyNumberFormat="1" applyFont="1" applyFill="1" applyBorder="1" applyAlignment="1">
      <alignment horizontal="center" vertical="center" wrapText="1"/>
      <protection locked="0" hidden="0"/>
    </xf>
    <xf numFmtId="165" fontId="6" fillId="3" borderId="1" xfId="1" applyNumberFormat="1" applyFont="1" applyFill="1" applyBorder="1" applyAlignment="1">
      <alignment horizontal="center" vertical="center" wrapText="1"/>
      <protection locked="0" hidden="0"/>
    </xf>
    <xf numFmtId="14" fontId="6" fillId="3" borderId="1" xfId="1" applyNumberFormat="1" applyFont="1" applyFill="1" applyBorder="1" applyAlignment="1">
      <alignment horizontal="center" vertical="center" wrapText="1"/>
      <protection locked="0" hidden="0"/>
    </xf>
    <xf numFmtId="0" fontId="6" fillId="3" borderId="1" xfId="0" applyFont="1" applyFill="1" applyBorder="1" applyAlignment="1">
      <alignment horizontal="left" vertical="center" wrapText="1"/>
      <protection locked="0" hidden="0"/>
    </xf>
    <xf numFmtId="0" fontId="6" fillId="3" borderId="1" xfId="0" applyFont="1" applyFill="1" applyBorder="1" applyAlignment="1">
      <alignment vertical="center" wrapText="1"/>
      <protection locked="0" hidden="0"/>
    </xf>
    <xf numFmtId="164" fontId="6" fillId="3" borderId="1" xfId="0" applyNumberFormat="1" applyFont="1" applyFill="1" applyBorder="1" applyAlignment="1">
      <alignment horizontal="left" vertical="center" wrapText="1"/>
      <protection locked="0" hidden="0"/>
    </xf>
    <xf numFmtId="165" fontId="10" fillId="4" borderId="1" xfId="1" applyNumberFormat="1" applyFont="1" applyFill="1" applyBorder="1" applyAlignment="1">
      <alignment horizontal="center" vertical="center" wrapText="1"/>
    </xf>
    <xf numFmtId="165" fontId="6" fillId="4" borderId="1" xfId="1" applyNumberFormat="1" applyFont="1" applyFill="1" applyBorder="1" applyAlignment="1">
      <alignment horizontal="center" vertical="center" wrapText="1"/>
    </xf>
    <xf numFmtId="165" fontId="6" fillId="3" borderId="1" xfId="1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  <protection locked="0" hidden="0"/>
    </xf>
    <xf numFmtId="14" fontId="6" fillId="3" borderId="1" xfId="0" applyNumberFormat="1" applyFont="1" applyFill="1" applyBorder="1" applyAlignment="1">
      <alignment horizontal="center" vertical="center" wrapText="1"/>
      <protection locked="0" hidden="0"/>
    </xf>
    <xf numFmtId="165" fontId="6" fillId="3" borderId="1" xfId="0" applyNumberFormat="1" applyFont="1" applyFill="1" applyBorder="1" applyAlignment="1">
      <alignment horizontal="center" vertical="center" wrapText="1"/>
      <protection locked="0" hidden="0"/>
    </xf>
    <xf numFmtId="14" fontId="11" fillId="3" borderId="1" xfId="0" applyNumberFormat="1" applyFont="1" applyFill="1" applyBorder="1" applyAlignment="1">
      <alignment horizontal="left" vertical="center" wrapText="1"/>
      <protection locked="0" hidden="0"/>
    </xf>
    <xf numFmtId="166" fontId="11" fillId="3" borderId="1" xfId="0" applyNumberFormat="1" applyFont="1" applyFill="1" applyBorder="1" applyAlignment="1">
      <alignment horizontal="left" vertical="center" wrapText="1"/>
      <protection locked="0" hidden="0"/>
    </xf>
    <xf numFmtId="0" fontId="6" fillId="5" borderId="1" xfId="0" applyFont="1" applyFill="1" applyBorder="1" applyAlignment="1">
      <alignment horizontal="center" vertical="center"/>
      <protection locked="0" hidden="0"/>
    </xf>
    <xf numFmtId="164" fontId="6" fillId="5" borderId="1" xfId="0" applyNumberFormat="1" applyFont="1" applyFill="1" applyBorder="1" applyAlignment="1">
      <alignment horizontal="center" vertical="center" wrapText="1"/>
      <protection locked="0" hidden="0"/>
    </xf>
    <xf numFmtId="165" fontId="6" fillId="5" borderId="1" xfId="0" applyNumberFormat="1" applyFont="1" applyFill="1" applyBorder="1" applyAlignment="1">
      <alignment horizontal="center" vertical="center"/>
      <protection locked="0" hidden="0"/>
    </xf>
    <xf numFmtId="14" fontId="6" fillId="5" borderId="1" xfId="0" applyNumberFormat="1" applyFont="1" applyFill="1" applyBorder="1" applyAlignment="1">
      <alignment horizontal="center" vertical="center"/>
      <protection locked="0" hidden="0"/>
    </xf>
    <xf numFmtId="164" fontId="6" fillId="5" borderId="1" xfId="0" applyNumberFormat="1" applyFont="1" applyFill="1" applyBorder="1" applyAlignment="1">
      <alignment horizontal="left" vertical="center" wrapText="1"/>
      <protection locked="0" hidden="0"/>
    </xf>
    <xf numFmtId="0" fontId="6" fillId="5" borderId="1" xfId="0" applyFont="1" applyFill="1" applyBorder="1" applyAlignment="1">
      <alignment vertical="center" wrapText="1"/>
      <protection locked="0" hidden="0"/>
    </xf>
    <xf numFmtId="0" fontId="6" fillId="5" borderId="1" xfId="0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  <protection locked="0" hidden="0"/>
    </xf>
    <xf numFmtId="165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  <protection locked="0" hidden="0"/>
    </xf>
    <xf numFmtId="0" fontId="6" fillId="6" borderId="1" xfId="0" applyFont="1" applyFill="1" applyBorder="1" applyAlignment="1">
      <alignment vertical="center" wrapText="1"/>
      <protection locked="0" hidden="0"/>
    </xf>
    <xf numFmtId="0" fontId="12" fillId="7" borderId="0" xfId="0" applyFont="1" applyFill="1" applyAlignment="1">
      <alignment horizontal="center" vertical="center" wrapText="1"/>
      <protection locked="0" hidden="0"/>
    </xf>
    <xf numFmtId="0" fontId="6" fillId="7" borderId="1" xfId="1" applyNumberFormat="1" applyFont="1" applyFill="1" applyBorder="1" applyAlignment="1">
      <alignment horizontal="center" vertical="center" wrapText="1"/>
      <protection locked="0" hidden="0"/>
    </xf>
    <xf numFmtId="164" fontId="6" fillId="5" borderId="1" xfId="1" applyNumberFormat="1" applyFont="1" applyFill="1" applyBorder="1" applyAlignment="1">
      <alignment horizontal="center" vertical="center" wrapText="1"/>
      <protection locked="0" hidden="0"/>
    </xf>
    <xf numFmtId="164" fontId="6" fillId="5" borderId="1" xfId="1" applyNumberFormat="1" applyFont="1" applyFill="1" applyBorder="1" applyAlignment="1">
      <alignment horizontal="left" vertical="center" wrapText="1"/>
      <protection locked="0" hidden="0"/>
    </xf>
    <xf numFmtId="0" fontId="6" fillId="5" borderId="1" xfId="0" applyFont="1" applyFill="1" applyBorder="1" applyAlignment="1">
      <alignment horizontal="left" vertical="center" wrapText="1"/>
      <protection locked="0" hidden="0"/>
    </xf>
    <xf numFmtId="164" fontId="4" fillId="5" borderId="1" xfId="1" applyNumberFormat="1" applyFont="1" applyFill="1" applyBorder="1" applyAlignment="1">
      <alignment horizontal="left" vertical="center" wrapText="1"/>
    </xf>
    <xf numFmtId="165" fontId="6" fillId="5" borderId="1" xfId="0" applyNumberFormat="1" applyFont="1" applyFill="1" applyBorder="1" applyAlignment="1">
      <alignment horizontal="center" vertical="center" wrapText="1"/>
      <protection locked="0" hidden="0"/>
    </xf>
    <xf numFmtId="164" fontId="11" fillId="5" borderId="1" xfId="0" applyNumberFormat="1" applyFont="1" applyFill="1" applyBorder="1" applyAlignment="1">
      <alignment horizontal="left" vertical="center" wrapText="1"/>
      <protection locked="0" hidden="0"/>
    </xf>
    <xf numFmtId="0" fontId="4" fillId="5" borderId="1" xfId="0" applyFont="1" applyFill="1" applyBorder="1" applyAlignment="1">
      <alignment horizontal="left" vertical="center" wrapText="1"/>
    </xf>
    <xf numFmtId="14" fontId="8" fillId="6" borderId="1" xfId="0" applyNumberFormat="1" applyFont="1" applyFill="1" applyBorder="1" applyAlignment="1">
      <alignment horizontal="center" vertical="center" wrapText="1"/>
      <protection locked="0" hidden="0"/>
    </xf>
    <xf numFmtId="0" fontId="11" fillId="5" borderId="1" xfId="0" applyFont="1" applyFill="1" applyBorder="1" applyAlignment="1">
      <alignment vertical="center" wrapText="1"/>
      <protection locked="0" hidden="0"/>
    </xf>
    <xf numFmtId="165" fontId="6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  <protection locked="0" hidden="0"/>
    </xf>
    <xf numFmtId="14" fontId="6" fillId="3" borderId="1" xfId="0" applyNumberFormat="1" applyFont="1" applyFill="1" applyBorder="1" applyAlignment="1">
      <alignment horizontal="left" vertical="center" wrapText="1"/>
      <protection locked="0" hidden="0"/>
    </xf>
    <xf numFmtId="166" fontId="6" fillId="3" borderId="1" xfId="0" applyNumberFormat="1" applyFont="1" applyFill="1" applyBorder="1" applyAlignment="1">
      <alignment horizontal="left" vertical="center" wrapText="1"/>
      <protection locked="0" hidden="0"/>
    </xf>
    <xf numFmtId="0" fontId="10" fillId="5" borderId="1" xfId="0" applyFont="1" applyFill="1" applyBorder="1" applyAlignment="1">
      <alignment horizontal="center" vertical="center"/>
      <protection locked="0" hidden="0"/>
    </xf>
    <xf numFmtId="0" fontId="6" fillId="5" borderId="1" xfId="0" applyFont="1" applyFill="1" applyBorder="1" applyAlignment="1">
      <alignment horizontal="center" vertical="center" wrapText="1"/>
      <protection locked="0" hidden="0"/>
    </xf>
    <xf numFmtId="166" fontId="4" fillId="5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  <protection locked="0" hidden="0"/>
    </xf>
    <xf numFmtId="164" fontId="6" fillId="2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  <protection locked="0" hidden="0"/>
    </xf>
    <xf numFmtId="0" fontId="6" fillId="2" borderId="1" xfId="0" applyFont="1" applyFill="1" applyBorder="1" applyAlignment="1">
      <alignment horizontal="center" vertical="center" wrapText="1"/>
      <protection locked="0" hidden="0"/>
    </xf>
    <xf numFmtId="164" fontId="6" fillId="2" borderId="1" xfId="1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  <protection locked="0" hidden="0"/>
    </xf>
    <xf numFmtId="14" fontId="6" fillId="3" borderId="1" xfId="0" applyNumberFormat="1" applyFont="1" applyFill="1" applyBorder="1" applyAlignment="1">
      <alignment horizontal="left" vertical="center" wrapText="1"/>
    </xf>
    <xf numFmtId="166" fontId="6" fillId="3" borderId="1" xfId="0" applyNumberFormat="1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  <protection locked="0" hidden="0"/>
    </xf>
    <xf numFmtId="0" fontId="2" fillId="0" borderId="0" xfId="0" applyFont="1">
      <alignment vertical="center"/>
      <protection locked="0" hidden="0"/>
    </xf>
    <xf numFmtId="165" fontId="6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  <protection locked="0" hidden="0"/>
    </xf>
    <xf numFmtId="0" fontId="6" fillId="2" borderId="1" xfId="0" applyFont="1" applyFill="1" applyBorder="1" applyAlignment="1">
      <alignment horizontal="left" vertical="center" wrapText="1"/>
      <protection locked="0" hidden="0"/>
    </xf>
    <xf numFmtId="0" fontId="6" fillId="2" borderId="1" xfId="0" applyFont="1" applyFill="1" applyBorder="1" applyAlignment="1">
      <alignment vertical="center" wrapText="1"/>
      <protection locked="0" hidden="0"/>
    </xf>
    <xf numFmtId="164" fontId="8" fillId="6" borderId="1" xfId="0" applyNumberFormat="1" applyFont="1" applyFill="1" applyBorder="1" applyAlignment="1">
      <alignment horizontal="center" vertical="center" wrapText="1"/>
      <protection locked="0" hidden="0"/>
    </xf>
    <xf numFmtId="14" fontId="8" fillId="6" borderId="1" xfId="0" applyNumberFormat="1" applyFont="1" applyFill="1" applyBorder="1" applyAlignment="1">
      <alignment horizontal="left" vertical="center" wrapText="1"/>
      <protection locked="0" hidden="0"/>
    </xf>
    <xf numFmtId="166" fontId="6" fillId="6" borderId="1" xfId="0" applyNumberFormat="1" applyFont="1" applyFill="1" applyBorder="1" applyAlignment="1">
      <alignment horizontal="left" vertical="center" wrapText="1"/>
      <protection locked="0" hidden="0"/>
    </xf>
    <xf numFmtId="14" fontId="10" fillId="3" borderId="1" xfId="1" applyNumberFormat="1" applyFont="1" applyFill="1" applyBorder="1" applyAlignment="1">
      <alignment horizontal="center" vertical="center" wrapText="1"/>
      <protection locked="0" hidden="0"/>
    </xf>
    <xf numFmtId="164" fontId="11" fillId="3" borderId="1" xfId="0" applyNumberFormat="1" applyFont="1" applyFill="1" applyBorder="1" applyAlignment="1">
      <alignment horizontal="center" vertical="center" wrapText="1"/>
      <protection locked="0" hidden="0"/>
    </xf>
    <xf numFmtId="164" fontId="6" fillId="2" borderId="1" xfId="0" applyNumberFormat="1" applyFont="1" applyFill="1" applyBorder="1" applyAlignment="1">
      <alignment horizontal="center" vertical="center" wrapText="1"/>
      <protection locked="0" hidden="0"/>
    </xf>
    <xf numFmtId="164" fontId="6" fillId="2" borderId="1" xfId="0" applyNumberFormat="1" applyFont="1" applyFill="1" applyBorder="1" applyAlignment="1">
      <alignment horizontal="left" vertical="center" wrapText="1"/>
      <protection locked="0" hidden="0"/>
    </xf>
    <xf numFmtId="0" fontId="14" fillId="0" borderId="0" xfId="0" applyFont="1">
      <alignment vertical="center"/>
      <protection locked="0" hidden="0"/>
    </xf>
    <xf numFmtId="0" fontId="12" fillId="7" borderId="2" xfId="0" applyFont="1" applyFill="1" applyBorder="1" applyAlignment="1">
      <alignment horizontal="center" vertical="center" wrapText="1"/>
      <protection locked="0" hidden="0"/>
    </xf>
    <xf numFmtId="164" fontId="6" fillId="3" borderId="1" xfId="1" applyNumberFormat="1" applyFont="1" applyFill="1" applyBorder="1" applyAlignment="1">
      <alignment horizontal="center" vertical="center" wrapText="1"/>
      <protection locked="0" hidden="0"/>
    </xf>
    <xf numFmtId="164" fontId="6" fillId="3" borderId="1" xfId="1" applyNumberFormat="1" applyFont="1" applyFill="1" applyBorder="1" applyAlignment="1">
      <alignment horizontal="left" vertical="center" wrapText="1"/>
      <protection locked="0" hidden="0"/>
    </xf>
    <xf numFmtId="166" fontId="6" fillId="3" borderId="1" xfId="0" applyNumberFormat="1" applyFont="1" applyFill="1" applyBorder="1" applyAlignment="1">
      <alignment horizontal="left" vertical="center" wrapText="1"/>
      <protection locked="0" hidden="0"/>
    </xf>
    <xf numFmtId="0" fontId="6" fillId="0" borderId="1" xfId="1" applyNumberFormat="1" applyFont="1" applyFill="1" applyBorder="1" applyAlignment="1">
      <alignment horizontal="center" vertical="center" wrapText="1"/>
      <protection locked="0" hidden="0"/>
    </xf>
    <xf numFmtId="0" fontId="6" fillId="3" borderId="1" xfId="0" applyFont="1" applyFill="1" applyBorder="1" applyAlignment="1">
      <alignment horizontal="center" vertical="center" wrapText="1"/>
      <protection locked="0" hidden="0"/>
    </xf>
    <xf numFmtId="0" fontId="8" fillId="3" borderId="1" xfId="0" applyFont="1" applyFill="1" applyBorder="1" applyAlignment="1">
      <alignment horizontal="center" vertical="center" wrapText="1"/>
      <protection locked="0" hidden="0"/>
    </xf>
    <xf numFmtId="164" fontId="6" fillId="5" borderId="1" xfId="0" applyNumberFormat="1" applyFont="1" applyFill="1" applyBorder="1" applyAlignment="1">
      <alignment horizontal="center" vertical="center"/>
      <protection locked="0" hidden="0"/>
    </xf>
    <xf numFmtId="165" fontId="8" fillId="6" borderId="1" xfId="0" applyNumberFormat="1" applyFont="1" applyFill="1" applyBorder="1" applyAlignment="1">
      <alignment horizontal="center" vertical="center" wrapText="1"/>
      <protection locked="0" hidden="0"/>
    </xf>
    <xf numFmtId="0" fontId="6" fillId="6" borderId="1" xfId="0" applyFont="1" applyFill="1" applyBorder="1" applyAlignment="1">
      <alignment horizontal="center" vertical="center" wrapText="1"/>
      <protection locked="0" hidden="0"/>
    </xf>
    <xf numFmtId="165" fontId="6" fillId="2" borderId="1" xfId="0" applyNumberFormat="1" applyFont="1" applyFill="1" applyBorder="1" applyAlignment="1">
      <alignment horizontal="center" vertical="center" wrapText="1"/>
      <protection locked="0" hidden="0"/>
    </xf>
    <xf numFmtId="166" fontId="8" fillId="6" borderId="1" xfId="0" applyNumberFormat="1" applyFont="1" applyFill="1" applyBorder="1" applyAlignment="1">
      <alignment horizontal="center" vertical="center" wrapText="1"/>
      <protection locked="0" hidden="0"/>
    </xf>
    <xf numFmtId="0" fontId="11" fillId="5" borderId="1" xfId="0" applyFont="1" applyFill="1" applyBorder="1" applyAlignment="1">
      <alignment horizontal="left" vertical="center" wrapText="1"/>
      <protection locked="0" hidden="0"/>
    </xf>
    <xf numFmtId="0" fontId="6" fillId="0" borderId="1" xfId="0" applyFont="1" applyBorder="1">
      <alignment vertical="center"/>
      <protection locked="0" hidden="0"/>
    </xf>
    <xf numFmtId="0" fontId="6" fillId="0" borderId="1" xfId="0" applyFont="1" applyBorder="1" applyAlignment="1">
      <alignment vertical="center" wrapText="1"/>
      <protection locked="0" hidden="0"/>
    </xf>
    <xf numFmtId="0" fontId="15" fillId="0" borderId="1" xfId="0" applyFont="1" applyBorder="1">
      <alignment vertical="center"/>
      <protection locked="0" hidden="0"/>
    </xf>
    <xf numFmtId="165" fontId="15" fillId="0" borderId="1" xfId="0" applyNumberFormat="1" applyFont="1" applyBorder="1">
      <alignment vertical="center"/>
      <protection locked="0" hidden="0"/>
    </xf>
    <xf numFmtId="0" fontId="15" fillId="0" borderId="1" xfId="0" applyFont="1" applyBorder="1" applyAlignment="1">
      <alignment horizontal="left" vertical="center" wrapText="1"/>
      <protection locked="0" hidden="0"/>
    </xf>
    <xf numFmtId="0" fontId="15" fillId="0" borderId="1" xfId="0" applyFont="1" applyBorder="1" applyAlignment="1">
      <alignment vertical="center" wrapText="1"/>
      <protection locked="0" hidden="0"/>
    </xf>
    <xf numFmtId="0" fontId="1" fillId="0" borderId="1" xfId="0" applyBorder="1">
      <alignment vertical="center"/>
    </xf>
    <xf numFmtId="14" fontId="1" fillId="0" borderId="0" xfId="0" applyNumberFormat="1">
      <alignment vertical="center"/>
    </xf>
  </cellXfs>
  <cellStyles count="2">
    <cellStyle name="常规" xfId="0" builtinId="0"/>
    <cellStyle name="常规_Sheet1" xfId="1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419086</xdr:colOff>
      <xdr:row>21</xdr:row>
      <xdr:rowOff>0</xdr:rowOff>
    </xdr:from>
    <xdr:to>
      <xdr:col>15</xdr:col>
      <xdr:colOff>138561</xdr:colOff>
      <xdr:row>36</xdr:row>
      <xdr:rowOff>88314</xdr:rowOff>
    </xdr:to>
    <xdr:pic>
      <xdr:nvPicPr>
        <xdr:cNvPr id="2" name="图片 3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294120" y="3690228"/>
          <a:ext cx="5381832" cy="271733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121560</xdr:colOff>
      <xdr:row>3</xdr:row>
      <xdr:rowOff>25330</xdr:rowOff>
    </xdr:from>
    <xdr:to>
      <xdr:col>7</xdr:col>
      <xdr:colOff>29752</xdr:colOff>
      <xdr:row>21</xdr:row>
      <xdr:rowOff>0</xdr:rowOff>
    </xdr:to>
    <xdr:pic>
      <xdr:nvPicPr>
        <xdr:cNvPr id="3" name="图片 4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21920" y="556260"/>
          <a:ext cx="5783580" cy="313592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98608</xdr:colOff>
      <xdr:row>1</xdr:row>
      <xdr:rowOff>151983</xdr:rowOff>
    </xdr:from>
    <xdr:to>
      <xdr:col>15</xdr:col>
      <xdr:colOff>14451</xdr:colOff>
      <xdr:row>19</xdr:row>
      <xdr:rowOff>88314</xdr:rowOff>
    </xdr:to>
    <xdr:pic>
      <xdr:nvPicPr>
        <xdr:cNvPr id="4" name="图片 5" descr=" 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5974081" y="327660"/>
          <a:ext cx="5577840" cy="309748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2"/>
  <sheetViews>
    <sheetView workbookViewId="0">
      <selection activeCell="B10" sqref="B10"/>
    </sheetView>
  </sheetViews>
  <sheetFormatPr defaultRowHeight="13.8" defaultColWidth="10"/>
  <cols>
    <col min="1" max="1" customWidth="1" bestFit="1" width="16.109375" style="0"/>
    <col min="2" max="2" customWidth="1" bestFit="1" width="15.332031" style="1"/>
  </cols>
  <sheetData>
    <row r="1" spans="8:8">
      <c r="A1" s="2"/>
    </row>
    <row r="2" spans="8:8">
      <c r="A2" s="3" t="s">
        <v>503</v>
      </c>
      <c r="B2" s="4" t="s">
        <v>504</v>
      </c>
    </row>
    <row r="3" spans="8:8">
      <c r="A3" s="3" t="s">
        <v>491</v>
      </c>
      <c r="B3" s="4">
        <v>2.0</v>
      </c>
    </row>
    <row r="4" spans="8:8">
      <c r="A4" s="3" t="s">
        <v>492</v>
      </c>
      <c r="B4" s="4" t="s">
        <v>493</v>
      </c>
    </row>
    <row r="5" spans="8:8">
      <c r="A5" s="3" t="s">
        <v>497</v>
      </c>
      <c r="B5" s="4">
        <v>0.0</v>
      </c>
    </row>
    <row r="6" spans="8:8">
      <c r="A6" s="3" t="s">
        <v>498</v>
      </c>
      <c r="B6" s="4" t="s">
        <v>499</v>
      </c>
    </row>
    <row r="7" spans="8:8">
      <c r="A7" s="3" t="s">
        <v>511</v>
      </c>
      <c r="B7" s="4" t="s">
        <v>509</v>
      </c>
    </row>
    <row r="8" spans="8:8" ht="14.8">
      <c r="A8" s="3" t="s">
        <v>502</v>
      </c>
      <c r="B8" s="4">
        <v>16.0</v>
      </c>
    </row>
    <row r="9" spans="8:8">
      <c r="A9" s="3" t="s">
        <v>496</v>
      </c>
      <c r="B9" s="4" t="s">
        <v>509</v>
      </c>
    </row>
    <row r="10" spans="8:8">
      <c r="A10" s="5" t="s">
        <v>512</v>
      </c>
      <c r="B10" s="4" t="s">
        <v>514</v>
      </c>
    </row>
    <row r="11" spans="8:8">
      <c r="A11" s="5" t="s">
        <v>516</v>
      </c>
      <c r="B11" s="4" t="s">
        <v>509</v>
      </c>
    </row>
    <row r="12" spans="8:8">
      <c r="A12" s="5" t="s">
        <v>517</v>
      </c>
      <c r="B12" s="4" t="s">
        <v>518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allowBlank="1" type="list" errorStyle="stop" showInputMessage="1" showErrorMessage="1">
          <x14:formula1>
            <xm:f>Sheet1!$A$41:$A$42</xm:f>
          </x14:formula1>
          <xm:sqref>B2</xm:sqref>
        </x14:dataValidation>
        <x14:dataValidation allowBlank="1" type="list" errorStyle="stop" showInputMessage="1" showErrorMessage="1">
          <x14:formula1>
            <xm:f>Sheet1!$I$41:$I$42</xm:f>
          </x14:formula1>
          <xm:sqref>B10</xm:sqref>
        </x14:dataValidation>
        <x14:dataValidation allowBlank="1" type="list" errorStyle="stop" showInputMessage="1" showErrorMessage="1">
          <x14:formula1>
            <xm:f>Sheet1!$D$41:$D$42</xm:f>
          </x14:formula1>
          <xm:sqref>B9</xm:sqref>
        </x14:dataValidation>
        <x14:dataValidation allowBlank="1" type="list" errorStyle="stop" showInputMessage="1" showErrorMessage="1">
          <x14:formula1>
            <xm:f>Sheet1!$E$41:$E$44</xm:f>
          </x14:formula1>
          <xm:sqref>B5</xm:sqref>
        </x14:dataValidation>
        <x14:dataValidation allowBlank="1" type="list" errorStyle="stop" showInputMessage="1" showErrorMessage="1">
          <x14:formula1>
            <xm:f>Sheet1!$J$41:$J$42</xm:f>
          </x14:formula1>
          <xm:sqref>B11</xm:sqref>
        </x14:dataValidation>
        <x14:dataValidation allowBlank="1" type="list" errorStyle="stop" showInputMessage="1" showErrorMessage="1">
          <x14:formula1>
            <xm:f>Sheet1!$B$41:$B$42</xm:f>
          </x14:formula1>
          <xm:sqref>B3</xm:sqref>
        </x14:dataValidation>
        <x14:dataValidation allowBlank="1" type="list" errorStyle="stop" showInputMessage="1" showErrorMessage="1">
          <x14:formula1>
            <xm:f>Sheet1!$H$41:$H$42</xm:f>
          </x14:formula1>
          <xm:sqref>B7</xm:sqref>
        </x14:dataValidation>
        <x14:dataValidation allowBlank="1" type="list" errorStyle="stop" showInputMessage="1" showErrorMessage="1">
          <x14:formula1>
            <xm:f>Sheet1!$F$41:$F$42</xm:f>
          </x14:formula1>
          <xm:sqref>B6</xm:sqref>
        </x14:dataValidation>
        <x14:dataValidation allowBlank="1" type="list" errorStyle="stop" showInputMessage="1" showErrorMessage="1">
          <x14:formula1>
            <xm:f>Sheet1!$C$41:$C$42</xm:f>
          </x14:formula1>
          <xm:sqref>B4</xm:sqref>
        </x14:dataValidation>
        <x14:dataValidation allowBlank="1" type="list" errorStyle="stop" showInputMessage="1" showErrorMessage="1">
          <x14:formula1>
            <xm:f>Sheet1!$K$41:$K$44</xm:f>
          </x14:formula1>
          <xm:sqref>B12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52"/>
  <sheetViews>
    <sheetView tabSelected="1" workbookViewId="0" zoomScale="35">
      <pane xSplit="4" ySplit="3" topLeftCell="E9" state="frozen" activePane="bottomRight"/>
      <selection pane="bottomRight" activeCell="L160" sqref="L160"/>
    </sheetView>
  </sheetViews>
  <sheetFormatPr defaultRowHeight="25.95" customHeight="1" defaultColWidth="9"/>
  <cols>
    <col min="1" max="1" customWidth="1" width="7.6640625" style="6"/>
    <col min="2" max="2" customWidth="1" width="8.109375" style="7"/>
    <col min="3" max="3" customWidth="1" width="7.21875" style="7"/>
    <col min="4" max="4" customWidth="1" width="7.0" style="7"/>
    <col min="5" max="5" customWidth="1" width="33.109375" style="7"/>
    <col min="6" max="6" customWidth="1" width="13.332031" style="7"/>
    <col min="7" max="7" hidden="1" customWidth="1" width="12.109375" style="7"/>
    <col min="8" max="8" hidden="1" customWidth="1" width="10.5546875" style="7"/>
    <col min="9" max="9" hidden="1" customWidth="1" width="12.777344" style="8"/>
    <col min="10" max="10" hidden="1" customWidth="1" width="15.441406" style="8"/>
    <col min="11" max="11" hidden="1" customWidth="1" width="15.21875" style="8"/>
    <col min="12" max="12" customWidth="1" bestFit="1" width="22.332031" style="8"/>
    <col min="13" max="13" customWidth="1" width="20.886719" style="7"/>
    <col min="14" max="14" customWidth="1" width="20.777344" style="7"/>
    <col min="15" max="19" customWidth="1" width="23.109375" style="9"/>
    <col min="20" max="20" customWidth="1" width="55.554688" style="9"/>
    <col min="21" max="21" customWidth="1" width="74.0" style="10"/>
    <col min="22" max="16384" customWidth="0" width="9.109375" style="7"/>
  </cols>
  <sheetData>
    <row r="1" spans="8:8" ht="25.95" customHeight="1">
      <c r="A1" s="11"/>
      <c r="B1" s="12"/>
      <c r="C1" s="12"/>
      <c r="D1" s="12"/>
      <c r="E1" s="13"/>
      <c r="F1" s="13"/>
      <c r="G1" s="13"/>
      <c r="H1" s="13"/>
      <c r="I1" s="14"/>
      <c r="J1" s="14"/>
      <c r="K1" s="14"/>
      <c r="L1" s="14"/>
      <c r="M1" s="15"/>
      <c r="N1" s="15"/>
      <c r="O1" s="16"/>
      <c r="P1" s="16"/>
      <c r="Q1" s="16"/>
      <c r="R1" s="16"/>
      <c r="S1" s="16"/>
      <c r="T1" s="16"/>
      <c r="U1" s="17"/>
    </row>
    <row r="2" spans="8:8" ht="25.95" customHeight="1">
      <c r="A2" s="18"/>
      <c r="B2" s="18"/>
      <c r="C2" s="18"/>
      <c r="D2" s="19" t="s">
        <v>490</v>
      </c>
      <c r="E2" s="12"/>
      <c r="F2" s="12"/>
      <c r="G2" s="12"/>
      <c r="H2" s="12"/>
      <c r="I2" s="20"/>
      <c r="J2" s="20"/>
      <c r="K2" s="20"/>
      <c r="L2" s="20"/>
      <c r="M2" s="12"/>
      <c r="N2" s="12"/>
      <c r="O2" s="21"/>
      <c r="P2" s="21"/>
      <c r="Q2" s="21"/>
      <c r="R2" s="21"/>
      <c r="S2" s="21"/>
      <c r="T2" s="21"/>
      <c r="U2" s="12"/>
    </row>
    <row r="3" spans="8:8" ht="34.5" customHeight="1">
      <c r="A3" s="22" t="s">
        <v>0</v>
      </c>
      <c r="B3" s="22" t="s">
        <v>1</v>
      </c>
      <c r="C3" s="22" t="s">
        <v>2</v>
      </c>
      <c r="D3" s="23" t="s">
        <v>3</v>
      </c>
      <c r="E3" s="23" t="s">
        <v>4</v>
      </c>
      <c r="F3" s="23" t="s">
        <v>5</v>
      </c>
      <c r="G3" s="24" t="s">
        <v>481</v>
      </c>
      <c r="H3" s="24" t="s">
        <v>463</v>
      </c>
      <c r="I3" s="25" t="s">
        <v>482</v>
      </c>
      <c r="J3" s="26" t="s">
        <v>480</v>
      </c>
      <c r="K3" s="26" t="s">
        <v>479</v>
      </c>
      <c r="L3" s="27" t="s">
        <v>483</v>
      </c>
      <c r="M3" s="23" t="s">
        <v>6</v>
      </c>
      <c r="N3" s="23" t="s">
        <v>7</v>
      </c>
      <c r="O3" s="23" t="s">
        <v>8</v>
      </c>
      <c r="P3" s="23" t="s">
        <v>9</v>
      </c>
      <c r="Q3" s="23" t="s">
        <v>10</v>
      </c>
      <c r="R3" s="23" t="s">
        <v>11</v>
      </c>
      <c r="S3" s="23" t="s">
        <v>12</v>
      </c>
      <c r="T3" s="28" t="s">
        <v>13</v>
      </c>
      <c r="U3" s="23" t="s">
        <v>14</v>
      </c>
    </row>
    <row r="4" spans="8:8" ht="31.2" hidden="1" customHeight="1">
      <c r="A4" s="22"/>
      <c r="B4" s="22">
        <v>1.0</v>
      </c>
      <c r="C4" s="22"/>
      <c r="D4" s="29" t="s">
        <v>15</v>
      </c>
      <c r="E4" s="29" t="s">
        <v>16</v>
      </c>
      <c r="F4" s="29" t="s">
        <v>17</v>
      </c>
      <c r="G4" s="29"/>
      <c r="H4" s="29"/>
      <c r="I4" s="30"/>
      <c r="J4" s="30"/>
      <c r="K4" s="30"/>
      <c r="L4" s="30"/>
      <c r="M4" s="31" t="s">
        <v>16</v>
      </c>
      <c r="N4" s="31" t="s">
        <v>16</v>
      </c>
      <c r="O4" s="31" t="s">
        <v>16</v>
      </c>
      <c r="P4" s="31" t="s">
        <v>16</v>
      </c>
      <c r="Q4" s="31" t="s">
        <v>16</v>
      </c>
      <c r="R4" s="31" t="s">
        <v>16</v>
      </c>
      <c r="S4" s="31" t="s">
        <v>16</v>
      </c>
      <c r="T4" s="32" t="s">
        <v>18</v>
      </c>
      <c r="U4" s="33"/>
    </row>
    <row r="5" spans="8:8" ht="31.2" hidden="1" customHeight="1">
      <c r="A5" s="22"/>
      <c r="B5" s="22">
        <v>2.0</v>
      </c>
      <c r="C5" s="22"/>
      <c r="D5" s="29" t="s">
        <v>15</v>
      </c>
      <c r="E5" s="29" t="s">
        <v>19</v>
      </c>
      <c r="F5" s="29" t="s">
        <v>20</v>
      </c>
      <c r="G5" s="29"/>
      <c r="H5" s="29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4" t="s">
        <v>21</v>
      </c>
      <c r="U5" s="34"/>
    </row>
    <row r="6" spans="8:8" ht="31.2" hidden="1" customHeight="1">
      <c r="A6" s="22"/>
      <c r="B6" s="22">
        <v>3.0</v>
      </c>
      <c r="C6" s="22"/>
      <c r="D6" s="29" t="s">
        <v>15</v>
      </c>
      <c r="E6" s="29" t="s">
        <v>22</v>
      </c>
      <c r="F6" s="29" t="s">
        <v>17</v>
      </c>
      <c r="G6" s="29"/>
      <c r="H6" s="29"/>
      <c r="I6" s="35"/>
      <c r="J6" s="35"/>
      <c r="K6" s="35"/>
      <c r="L6" s="36">
        <v>44914.0</v>
      </c>
      <c r="M6" s="31" t="s">
        <v>23</v>
      </c>
      <c r="N6" s="31" t="s">
        <v>23</v>
      </c>
      <c r="O6" s="31" t="s">
        <v>24</v>
      </c>
      <c r="P6" s="31" t="s">
        <v>24</v>
      </c>
      <c r="Q6" s="31" t="s">
        <v>24</v>
      </c>
      <c r="R6" s="31" t="s">
        <v>24</v>
      </c>
      <c r="S6" s="31" t="s">
        <v>24</v>
      </c>
      <c r="T6" s="32" t="s">
        <v>25</v>
      </c>
      <c r="U6" s="33"/>
    </row>
    <row r="7" spans="8:8" ht="31.2" hidden="1" customHeight="1">
      <c r="A7" s="22"/>
      <c r="B7" s="22">
        <v>4.0</v>
      </c>
      <c r="C7" s="22"/>
      <c r="D7" s="29" t="s">
        <v>15</v>
      </c>
      <c r="E7" s="29" t="s">
        <v>26</v>
      </c>
      <c r="F7" s="29" t="s">
        <v>17</v>
      </c>
      <c r="G7" s="29"/>
      <c r="H7" s="29"/>
      <c r="I7" s="37"/>
      <c r="J7" s="37"/>
      <c r="K7" s="37"/>
      <c r="L7" s="37">
        <f>L6+3</f>
        <v>44917.0</v>
      </c>
      <c r="M7" s="31" t="s">
        <v>27</v>
      </c>
      <c r="N7" s="31" t="s">
        <v>27</v>
      </c>
      <c r="O7" s="31" t="s">
        <v>27</v>
      </c>
      <c r="P7" s="31" t="s">
        <v>27</v>
      </c>
      <c r="Q7" s="31" t="s">
        <v>27</v>
      </c>
      <c r="R7" s="31" t="s">
        <v>27</v>
      </c>
      <c r="S7" s="31" t="s">
        <v>27</v>
      </c>
      <c r="T7" s="32" t="s">
        <v>28</v>
      </c>
      <c r="U7" s="33" t="s">
        <v>29</v>
      </c>
    </row>
    <row r="8" spans="8:8" ht="31.2" hidden="1" customHeight="1">
      <c r="A8" s="22"/>
      <c r="B8" s="22">
        <v>5.0</v>
      </c>
      <c r="C8" s="22"/>
      <c r="D8" s="29" t="s">
        <v>15</v>
      </c>
      <c r="E8" s="29" t="s">
        <v>30</v>
      </c>
      <c r="F8" s="29" t="s">
        <v>31</v>
      </c>
      <c r="G8" s="29"/>
      <c r="H8" s="29"/>
      <c r="I8" s="37"/>
      <c r="J8" s="37"/>
      <c r="K8" s="37"/>
      <c r="L8" s="37">
        <f>L6+10</f>
        <v>44924.0</v>
      </c>
      <c r="M8" s="31" t="s">
        <v>32</v>
      </c>
      <c r="N8" s="31" t="s">
        <v>32</v>
      </c>
      <c r="O8" s="31" t="s">
        <v>32</v>
      </c>
      <c r="P8" s="31" t="s">
        <v>32</v>
      </c>
      <c r="Q8" s="31" t="s">
        <v>32</v>
      </c>
      <c r="R8" s="31" t="s">
        <v>32</v>
      </c>
      <c r="S8" s="31" t="s">
        <v>32</v>
      </c>
      <c r="T8" s="38" t="s">
        <v>33</v>
      </c>
      <c r="U8" s="33" t="s">
        <v>34</v>
      </c>
    </row>
    <row r="9" spans="8:8" ht="60.0" hidden="1">
      <c r="A9" s="22"/>
      <c r="B9" s="22">
        <v>6.0</v>
      </c>
      <c r="C9" s="22"/>
      <c r="D9" s="29" t="s">
        <v>15</v>
      </c>
      <c r="E9" s="29" t="s">
        <v>35</v>
      </c>
      <c r="F9" s="39" t="s">
        <v>36</v>
      </c>
      <c r="G9" s="39"/>
      <c r="H9" s="39"/>
      <c r="I9" s="40"/>
      <c r="J9" s="40"/>
      <c r="K9" s="40"/>
      <c r="L9" s="40">
        <f>L6+10</f>
        <v>44924.0</v>
      </c>
      <c r="M9" s="31" t="s">
        <v>32</v>
      </c>
      <c r="N9" s="31" t="s">
        <v>32</v>
      </c>
      <c r="O9" s="31" t="s">
        <v>32</v>
      </c>
      <c r="P9" s="31" t="s">
        <v>32</v>
      </c>
      <c r="Q9" s="31" t="s">
        <v>32</v>
      </c>
      <c r="R9" s="31" t="s">
        <v>32</v>
      </c>
      <c r="S9" s="31" t="s">
        <v>32</v>
      </c>
      <c r="T9" s="41" t="s">
        <v>37</v>
      </c>
      <c r="U9" s="42" t="s">
        <v>38</v>
      </c>
    </row>
    <row r="10" spans="8:8" ht="45.0" hidden="1">
      <c r="A10" s="22"/>
      <c r="B10" s="22"/>
      <c r="C10" s="22">
        <v>1.0</v>
      </c>
      <c r="D10" s="43" t="s">
        <v>39</v>
      </c>
      <c r="E10" s="44" t="s">
        <v>40</v>
      </c>
      <c r="F10" s="43" t="s">
        <v>41</v>
      </c>
      <c r="G10" s="43"/>
      <c r="H10" s="43"/>
      <c r="I10" s="45"/>
      <c r="J10" s="45"/>
      <c r="K10" s="45"/>
      <c r="L10" s="45">
        <f>L6+10</f>
        <v>44924.0</v>
      </c>
      <c r="M10" s="46" t="s">
        <v>42</v>
      </c>
      <c r="N10" s="46" t="s">
        <v>42</v>
      </c>
      <c r="O10" s="46" t="s">
        <v>42</v>
      </c>
      <c r="P10" s="46" t="s">
        <v>42</v>
      </c>
      <c r="Q10" s="46" t="s">
        <v>42</v>
      </c>
      <c r="R10" s="46" t="s">
        <v>42</v>
      </c>
      <c r="S10" s="46" t="s">
        <v>42</v>
      </c>
      <c r="T10" s="47" t="s">
        <v>43</v>
      </c>
      <c r="U10" s="48" t="s">
        <v>44</v>
      </c>
    </row>
    <row r="11" spans="8:8" ht="45.0" hidden="1">
      <c r="A11" s="22"/>
      <c r="B11" s="22"/>
      <c r="C11" s="22">
        <v>2.0</v>
      </c>
      <c r="D11" s="43" t="s">
        <v>39</v>
      </c>
      <c r="E11" s="44" t="s">
        <v>45</v>
      </c>
      <c r="F11" s="43" t="s">
        <v>46</v>
      </c>
      <c r="G11" s="43"/>
      <c r="H11" s="43"/>
      <c r="I11" s="45"/>
      <c r="J11" s="45"/>
      <c r="K11" s="45"/>
      <c r="L11" s="45">
        <f>L6+10</f>
        <v>44924.0</v>
      </c>
      <c r="M11" s="46" t="s">
        <v>42</v>
      </c>
      <c r="N11" s="46" t="s">
        <v>42</v>
      </c>
      <c r="O11" s="46" t="s">
        <v>42</v>
      </c>
      <c r="P11" s="46" t="s">
        <v>42</v>
      </c>
      <c r="Q11" s="46" t="s">
        <v>42</v>
      </c>
      <c r="R11" s="46" t="s">
        <v>42</v>
      </c>
      <c r="S11" s="46" t="s">
        <v>42</v>
      </c>
      <c r="T11" s="47" t="s">
        <v>47</v>
      </c>
      <c r="U11" s="48" t="s">
        <v>48</v>
      </c>
    </row>
    <row r="12" spans="8:8" ht="35.7" hidden="1" customHeight="1">
      <c r="A12" s="22"/>
      <c r="B12" s="22"/>
      <c r="C12" s="22">
        <v>3.0</v>
      </c>
      <c r="D12" s="43" t="s">
        <v>39</v>
      </c>
      <c r="E12" s="44" t="s">
        <v>49</v>
      </c>
      <c r="F12" s="43" t="s">
        <v>36</v>
      </c>
      <c r="G12" s="43"/>
      <c r="H12" s="43"/>
      <c r="I12" s="45"/>
      <c r="J12" s="45"/>
      <c r="K12" s="45"/>
      <c r="L12" s="45">
        <f>L6+10</f>
        <v>44924.0</v>
      </c>
      <c r="M12" s="46" t="s">
        <v>42</v>
      </c>
      <c r="N12" s="46" t="s">
        <v>42</v>
      </c>
      <c r="O12" s="46" t="s">
        <v>42</v>
      </c>
      <c r="P12" s="46" t="s">
        <v>42</v>
      </c>
      <c r="Q12" s="46" t="s">
        <v>42</v>
      </c>
      <c r="R12" s="46" t="s">
        <v>42</v>
      </c>
      <c r="S12" s="46" t="s">
        <v>42</v>
      </c>
      <c r="T12" s="47" t="s">
        <v>50</v>
      </c>
      <c r="U12" s="48" t="s">
        <v>51</v>
      </c>
    </row>
    <row r="13" spans="8:8" ht="35.7" hidden="1" customHeight="1">
      <c r="A13" s="22"/>
      <c r="B13" s="22"/>
      <c r="C13" s="22">
        <v>4.0</v>
      </c>
      <c r="D13" s="43" t="s">
        <v>39</v>
      </c>
      <c r="E13" s="44" t="s">
        <v>464</v>
      </c>
      <c r="F13" s="43" t="s">
        <v>52</v>
      </c>
      <c r="G13" s="43"/>
      <c r="H13" s="43"/>
      <c r="I13" s="45"/>
      <c r="J13" s="45"/>
      <c r="K13" s="45"/>
      <c r="L13" s="45">
        <f>L6+10</f>
        <v>44924.0</v>
      </c>
      <c r="M13" s="46" t="s">
        <v>42</v>
      </c>
      <c r="N13" s="46" t="s">
        <v>42</v>
      </c>
      <c r="O13" s="46" t="s">
        <v>42</v>
      </c>
      <c r="P13" s="46" t="s">
        <v>42</v>
      </c>
      <c r="Q13" s="46" t="s">
        <v>42</v>
      </c>
      <c r="R13" s="46" t="s">
        <v>42</v>
      </c>
      <c r="S13" s="46" t="s">
        <v>42</v>
      </c>
      <c r="T13" s="47" t="s">
        <v>53</v>
      </c>
      <c r="U13" s="48" t="s">
        <v>54</v>
      </c>
    </row>
    <row r="14" spans="8:8" ht="35.7" hidden="1" customHeight="1">
      <c r="A14" s="22"/>
      <c r="B14" s="22"/>
      <c r="C14" s="22">
        <v>5.0</v>
      </c>
      <c r="D14" s="49" t="s">
        <v>39</v>
      </c>
      <c r="E14" s="50" t="s">
        <v>55</v>
      </c>
      <c r="F14" s="43" t="s">
        <v>56</v>
      </c>
      <c r="G14" s="43"/>
      <c r="H14" s="43"/>
      <c r="I14" s="45"/>
      <c r="J14" s="45"/>
      <c r="K14" s="45"/>
      <c r="L14" s="45">
        <f>L6+10</f>
        <v>44924.0</v>
      </c>
      <c r="M14" s="46" t="s">
        <v>42</v>
      </c>
      <c r="N14" s="46" t="s">
        <v>42</v>
      </c>
      <c r="O14" s="46" t="s">
        <v>42</v>
      </c>
      <c r="P14" s="46" t="s">
        <v>42</v>
      </c>
      <c r="Q14" s="46" t="s">
        <v>42</v>
      </c>
      <c r="R14" s="46" t="s">
        <v>42</v>
      </c>
      <c r="S14" s="46" t="s">
        <v>42</v>
      </c>
      <c r="T14" s="51" t="s">
        <v>57</v>
      </c>
      <c r="U14" s="52" t="s">
        <v>58</v>
      </c>
    </row>
    <row r="15" spans="8:8" ht="45.0" hidden="1">
      <c r="A15" s="22"/>
      <c r="B15" s="22"/>
      <c r="C15" s="22">
        <v>6.0</v>
      </c>
      <c r="D15" s="49" t="s">
        <v>39</v>
      </c>
      <c r="E15" s="50" t="s">
        <v>59</v>
      </c>
      <c r="F15" s="43" t="s">
        <v>36</v>
      </c>
      <c r="G15" s="43"/>
      <c r="H15" s="43"/>
      <c r="I15" s="45"/>
      <c r="J15" s="45"/>
      <c r="K15" s="45"/>
      <c r="L15" s="45">
        <f>L6+10</f>
        <v>44924.0</v>
      </c>
      <c r="M15" s="46" t="s">
        <v>42</v>
      </c>
      <c r="N15" s="46" t="s">
        <v>42</v>
      </c>
      <c r="O15" s="46" t="s">
        <v>42</v>
      </c>
      <c r="P15" s="46" t="s">
        <v>42</v>
      </c>
      <c r="Q15" s="46" t="s">
        <v>42</v>
      </c>
      <c r="R15" s="46" t="s">
        <v>42</v>
      </c>
      <c r="S15" s="46" t="s">
        <v>42</v>
      </c>
      <c r="T15" s="51" t="s">
        <v>60</v>
      </c>
      <c r="U15" s="52" t="s">
        <v>61</v>
      </c>
    </row>
    <row r="16" spans="8:8" ht="31.2" customHeight="1">
      <c r="A16" s="22">
        <v>1.0</v>
      </c>
      <c r="B16" s="22"/>
      <c r="C16" s="22"/>
      <c r="D16" s="53" t="s">
        <v>62</v>
      </c>
      <c r="E16" s="53" t="s">
        <v>63</v>
      </c>
      <c r="F16" s="53" t="s">
        <v>64</v>
      </c>
      <c r="G16" s="53"/>
      <c r="H16" s="53"/>
      <c r="I16" s="54"/>
      <c r="J16" s="54"/>
      <c r="K16" s="54"/>
      <c r="L16" s="54">
        <f>L6+30</f>
        <v>44944.0</v>
      </c>
      <c r="M16" s="53" t="s">
        <v>65</v>
      </c>
      <c r="N16" s="53" t="s">
        <v>65</v>
      </c>
      <c r="O16" s="53" t="s">
        <v>65</v>
      </c>
      <c r="P16" s="53" t="s">
        <v>65</v>
      </c>
      <c r="Q16" s="53" t="s">
        <v>65</v>
      </c>
      <c r="R16" s="53" t="s">
        <v>65</v>
      </c>
      <c r="S16" s="53" t="s">
        <v>65</v>
      </c>
      <c r="T16" s="55" t="s">
        <v>66</v>
      </c>
      <c r="U16" s="56" t="s">
        <v>29</v>
      </c>
    </row>
    <row r="17" spans="8:8" s="57" ht="34.95" hidden="1" customFormat="1" customHeight="1">
      <c r="A17" s="58"/>
      <c r="B17" s="58"/>
      <c r="C17" s="22">
        <v>7.0</v>
      </c>
      <c r="D17" s="43" t="s">
        <v>39</v>
      </c>
      <c r="E17" s="59" t="s">
        <v>67</v>
      </c>
      <c r="F17" s="43" t="s">
        <v>68</v>
      </c>
      <c r="G17" s="43"/>
      <c r="H17" s="43"/>
      <c r="I17" s="45"/>
      <c r="J17" s="45"/>
      <c r="K17" s="45"/>
      <c r="L17" s="45">
        <f>L6+30</f>
        <v>44944.0</v>
      </c>
      <c r="M17" s="43" t="s">
        <v>69</v>
      </c>
      <c r="N17" s="43" t="s">
        <v>69</v>
      </c>
      <c r="O17" s="43" t="s">
        <v>69</v>
      </c>
      <c r="P17" s="43" t="s">
        <v>69</v>
      </c>
      <c r="Q17" s="43" t="s">
        <v>69</v>
      </c>
      <c r="R17" s="43" t="s">
        <v>69</v>
      </c>
      <c r="S17" s="43" t="s">
        <v>69</v>
      </c>
      <c r="T17" s="60" t="s">
        <v>70</v>
      </c>
      <c r="U17" s="61"/>
    </row>
    <row r="18" spans="8:8" ht="120.0" hidden="1">
      <c r="A18" s="22"/>
      <c r="B18" s="22">
        <v>7.0</v>
      </c>
      <c r="C18" s="22"/>
      <c r="D18" s="29" t="s">
        <v>15</v>
      </c>
      <c r="E18" s="29" t="s">
        <v>71</v>
      </c>
      <c r="F18" s="29" t="s">
        <v>36</v>
      </c>
      <c r="G18" s="29"/>
      <c r="H18" s="29"/>
      <c r="I18" s="40"/>
      <c r="J18" s="40"/>
      <c r="K18" s="40"/>
      <c r="L18" s="40">
        <f>L6+35</f>
        <v>44949.0</v>
      </c>
      <c r="M18" s="31" t="s">
        <v>72</v>
      </c>
      <c r="N18" s="31" t="s">
        <v>72</v>
      </c>
      <c r="O18" s="31" t="s">
        <v>72</v>
      </c>
      <c r="P18" s="31" t="s">
        <v>72</v>
      </c>
      <c r="Q18" s="31" t="s">
        <v>72</v>
      </c>
      <c r="R18" s="31" t="s">
        <v>72</v>
      </c>
      <c r="S18" s="31" t="s">
        <v>72</v>
      </c>
      <c r="T18" s="32" t="s">
        <v>73</v>
      </c>
      <c r="U18" s="33" t="s">
        <v>74</v>
      </c>
    </row>
    <row r="19" spans="8:8" ht="34.95" hidden="1" customHeight="1">
      <c r="A19" s="22"/>
      <c r="B19" s="22"/>
      <c r="C19" s="22">
        <v>8.0</v>
      </c>
      <c r="D19" s="49" t="s">
        <v>39</v>
      </c>
      <c r="E19" s="50" t="s">
        <v>75</v>
      </c>
      <c r="F19" s="49" t="s">
        <v>68</v>
      </c>
      <c r="G19" s="49"/>
      <c r="H19" s="49"/>
      <c r="I19" s="45"/>
      <c r="J19" s="45"/>
      <c r="K19" s="45"/>
      <c r="L19" s="45">
        <f>L6+40</f>
        <v>44954.0</v>
      </c>
      <c r="M19" s="43" t="s">
        <v>76</v>
      </c>
      <c r="N19" s="43" t="s">
        <v>76</v>
      </c>
      <c r="O19" s="43" t="s">
        <v>76</v>
      </c>
      <c r="P19" s="43" t="s">
        <v>76</v>
      </c>
      <c r="Q19" s="43" t="s">
        <v>76</v>
      </c>
      <c r="R19" s="43" t="s">
        <v>76</v>
      </c>
      <c r="S19" s="43" t="s">
        <v>76</v>
      </c>
      <c r="T19" s="51" t="s">
        <v>77</v>
      </c>
      <c r="U19" s="52" t="s">
        <v>78</v>
      </c>
    </row>
    <row r="20" spans="8:8" ht="45.0" hidden="1">
      <c r="A20" s="22"/>
      <c r="B20" s="22"/>
      <c r="C20" s="22">
        <v>9.0</v>
      </c>
      <c r="D20" s="43" t="s">
        <v>39</v>
      </c>
      <c r="E20" s="50" t="s">
        <v>79</v>
      </c>
      <c r="F20" s="49" t="s">
        <v>46</v>
      </c>
      <c r="G20" s="49"/>
      <c r="H20" s="49"/>
      <c r="I20" s="45"/>
      <c r="J20" s="45"/>
      <c r="K20" s="45"/>
      <c r="L20" s="45">
        <f>L82-150</f>
        <v>44974.0</v>
      </c>
      <c r="M20" s="43" t="s">
        <v>80</v>
      </c>
      <c r="N20" s="43" t="s">
        <v>80</v>
      </c>
      <c r="O20" s="43" t="s">
        <v>80</v>
      </c>
      <c r="P20" s="43" t="s">
        <v>80</v>
      </c>
      <c r="Q20" s="43" t="s">
        <v>80</v>
      </c>
      <c r="R20" s="43" t="s">
        <v>80</v>
      </c>
      <c r="S20" s="43" t="s">
        <v>80</v>
      </c>
      <c r="T20" s="62" t="s">
        <v>532</v>
      </c>
      <c r="U20" s="52" t="s">
        <v>81</v>
      </c>
    </row>
    <row r="21" spans="8:8" ht="34.95" hidden="1" customHeight="1">
      <c r="A21" s="22"/>
      <c r="B21" s="22"/>
      <c r="C21" s="22">
        <v>10.0</v>
      </c>
      <c r="D21" s="43" t="s">
        <v>39</v>
      </c>
      <c r="E21" s="44" t="s">
        <v>82</v>
      </c>
      <c r="F21" s="43" t="s">
        <v>20</v>
      </c>
      <c r="G21" s="43"/>
      <c r="H21" s="43"/>
      <c r="I21" s="45"/>
      <c r="J21" s="45"/>
      <c r="K21" s="45"/>
      <c r="L21" s="45">
        <f>L6+60</f>
        <v>44974.0</v>
      </c>
      <c r="M21" s="46" t="s">
        <v>83</v>
      </c>
      <c r="N21" s="46" t="s">
        <v>83</v>
      </c>
      <c r="O21" s="46" t="s">
        <v>83</v>
      </c>
      <c r="P21" s="46" t="s">
        <v>83</v>
      </c>
      <c r="Q21" s="46" t="s">
        <v>83</v>
      </c>
      <c r="R21" s="46" t="s">
        <v>83</v>
      </c>
      <c r="S21" s="46" t="s">
        <v>83</v>
      </c>
      <c r="T21" s="47" t="s">
        <v>84</v>
      </c>
      <c r="U21" s="48"/>
    </row>
    <row r="22" spans="8:8" ht="34.95" hidden="1" customHeight="1">
      <c r="A22" s="22"/>
      <c r="B22" s="22"/>
      <c r="C22" s="22">
        <v>11.0</v>
      </c>
      <c r="D22" s="43" t="s">
        <v>39</v>
      </c>
      <c r="E22" s="44" t="s">
        <v>85</v>
      </c>
      <c r="F22" s="43" t="s">
        <v>52</v>
      </c>
      <c r="G22" s="43"/>
      <c r="H22" s="43"/>
      <c r="I22" s="45"/>
      <c r="J22" s="45"/>
      <c r="K22" s="45"/>
      <c r="L22" s="45">
        <f>L93-180</f>
        <v>44974.0</v>
      </c>
      <c r="M22" s="43" t="s">
        <v>86</v>
      </c>
      <c r="N22" s="43" t="s">
        <v>86</v>
      </c>
      <c r="O22" s="43" t="s">
        <v>86</v>
      </c>
      <c r="P22" s="43" t="s">
        <v>86</v>
      </c>
      <c r="Q22" s="43" t="s">
        <v>86</v>
      </c>
      <c r="R22" s="43" t="s">
        <v>86</v>
      </c>
      <c r="S22" s="43" t="s">
        <v>86</v>
      </c>
      <c r="T22" s="47" t="s">
        <v>87</v>
      </c>
      <c r="U22" s="48" t="s">
        <v>88</v>
      </c>
    </row>
    <row r="23" spans="8:8" ht="34.95" hidden="1" customHeight="1">
      <c r="A23" s="22"/>
      <c r="B23" s="22"/>
      <c r="C23" s="22">
        <v>12.0</v>
      </c>
      <c r="D23" s="43" t="s">
        <v>39</v>
      </c>
      <c r="E23" s="44" t="s">
        <v>89</v>
      </c>
      <c r="F23" s="44" t="s">
        <v>90</v>
      </c>
      <c r="G23" s="44"/>
      <c r="H23" s="44"/>
      <c r="I23" s="63"/>
      <c r="J23" s="63"/>
      <c r="K23" s="63"/>
      <c r="L23" s="63">
        <f>L40+15</f>
        <v>45017.0</v>
      </c>
      <c r="M23" s="44" t="s">
        <v>91</v>
      </c>
      <c r="N23" s="43" t="s">
        <v>91</v>
      </c>
      <c r="O23" s="44" t="s">
        <v>91</v>
      </c>
      <c r="P23" s="44" t="s">
        <v>91</v>
      </c>
      <c r="Q23" s="44" t="s">
        <v>91</v>
      </c>
      <c r="R23" s="44" t="s">
        <v>91</v>
      </c>
      <c r="S23" s="44" t="s">
        <v>91</v>
      </c>
      <c r="T23" s="64" t="s">
        <v>92</v>
      </c>
      <c r="U23" s="48" t="s">
        <v>93</v>
      </c>
    </row>
    <row r="24" spans="8:8" ht="45.0" hidden="1">
      <c r="A24" s="22"/>
      <c r="B24" s="22"/>
      <c r="C24" s="22">
        <v>13.0</v>
      </c>
      <c r="D24" s="43" t="s">
        <v>39</v>
      </c>
      <c r="E24" s="50" t="s">
        <v>94</v>
      </c>
      <c r="F24" s="49" t="s">
        <v>41</v>
      </c>
      <c r="G24" s="49"/>
      <c r="H24" s="49"/>
      <c r="I24" s="45"/>
      <c r="J24" s="45"/>
      <c r="K24" s="45"/>
      <c r="L24" s="45">
        <f>L89-140</f>
        <v>44999.0</v>
      </c>
      <c r="M24" s="43" t="s">
        <v>95</v>
      </c>
      <c r="N24" s="43" t="s">
        <v>95</v>
      </c>
      <c r="O24" s="43" t="s">
        <v>95</v>
      </c>
      <c r="P24" s="43" t="s">
        <v>95</v>
      </c>
      <c r="Q24" s="43" t="s">
        <v>95</v>
      </c>
      <c r="R24" s="43" t="s">
        <v>95</v>
      </c>
      <c r="S24" s="43" t="s">
        <v>95</v>
      </c>
      <c r="T24" s="62" t="s">
        <v>533</v>
      </c>
      <c r="U24" s="65" t="s">
        <v>534</v>
      </c>
    </row>
    <row r="25" spans="8:8" ht="34.95" customHeight="1">
      <c r="A25" s="22">
        <v>2.0</v>
      </c>
      <c r="B25" s="22"/>
      <c r="C25" s="22"/>
      <c r="D25" s="53" t="s">
        <v>62</v>
      </c>
      <c r="E25" s="53" t="s">
        <v>97</v>
      </c>
      <c r="F25" s="53" t="s">
        <v>20</v>
      </c>
      <c r="G25" s="53"/>
      <c r="H25" s="53"/>
      <c r="I25" s="54"/>
      <c r="J25" s="54"/>
      <c r="K25" s="54"/>
      <c r="L25" s="54">
        <v>44972.0</v>
      </c>
      <c r="M25" s="66" t="s">
        <v>98</v>
      </c>
      <c r="N25" s="66" t="s">
        <v>98</v>
      </c>
      <c r="O25" s="66" t="s">
        <v>99</v>
      </c>
      <c r="P25" s="66" t="s">
        <v>99</v>
      </c>
      <c r="Q25" s="66" t="s">
        <v>99</v>
      </c>
      <c r="R25" s="66" t="s">
        <v>99</v>
      </c>
      <c r="S25" s="66" t="s">
        <v>99</v>
      </c>
      <c r="T25" s="55" t="s">
        <v>100</v>
      </c>
      <c r="U25" s="53"/>
    </row>
    <row r="26" spans="8:8" ht="60.0" hidden="1">
      <c r="A26" s="22"/>
      <c r="B26" s="22"/>
      <c r="C26" s="22">
        <v>14.0</v>
      </c>
      <c r="D26" s="43" t="s">
        <v>39</v>
      </c>
      <c r="E26" s="44" t="s">
        <v>101</v>
      </c>
      <c r="F26" s="43" t="s">
        <v>36</v>
      </c>
      <c r="G26" s="43"/>
      <c r="H26" s="43"/>
      <c r="I26" s="45"/>
      <c r="J26" s="45"/>
      <c r="K26" s="45"/>
      <c r="L26" s="45">
        <f>L25+5</f>
        <v>44977.0</v>
      </c>
      <c r="M26" s="43" t="s">
        <v>102</v>
      </c>
      <c r="N26" s="43" t="s">
        <v>102</v>
      </c>
      <c r="O26" s="43" t="s">
        <v>102</v>
      </c>
      <c r="P26" s="43" t="s">
        <v>102</v>
      </c>
      <c r="Q26" s="43" t="s">
        <v>102</v>
      </c>
      <c r="R26" s="43" t="s">
        <v>102</v>
      </c>
      <c r="S26" s="43" t="s">
        <v>102</v>
      </c>
      <c r="T26" s="51" t="s">
        <v>103</v>
      </c>
      <c r="U26" s="52" t="s">
        <v>104</v>
      </c>
    </row>
    <row r="27" spans="8:8" ht="34.95" hidden="1" customHeight="1">
      <c r="A27" s="22"/>
      <c r="B27" s="22"/>
      <c r="C27" s="22">
        <v>15.0</v>
      </c>
      <c r="D27" s="43" t="s">
        <v>39</v>
      </c>
      <c r="E27" s="43" t="s">
        <v>105</v>
      </c>
      <c r="F27" s="43" t="s">
        <v>36</v>
      </c>
      <c r="G27" s="43"/>
      <c r="H27" s="43"/>
      <c r="I27" s="45"/>
      <c r="J27" s="45"/>
      <c r="K27" s="45"/>
      <c r="L27" s="45">
        <f>L25+7</f>
        <v>44979.0</v>
      </c>
      <c r="M27" s="43" t="s">
        <v>106</v>
      </c>
      <c r="N27" s="43" t="s">
        <v>106</v>
      </c>
      <c r="O27" s="43" t="s">
        <v>106</v>
      </c>
      <c r="P27" s="43" t="s">
        <v>106</v>
      </c>
      <c r="Q27" s="43" t="s">
        <v>106</v>
      </c>
      <c r="R27" s="43" t="s">
        <v>106</v>
      </c>
      <c r="S27" s="43" t="s">
        <v>106</v>
      </c>
      <c r="T27" s="47" t="s">
        <v>107</v>
      </c>
      <c r="U27" s="48"/>
    </row>
    <row r="28" spans="8:8" ht="34.95" hidden="1" customHeight="1">
      <c r="A28" s="22"/>
      <c r="B28" s="22"/>
      <c r="C28" s="22">
        <v>16.0</v>
      </c>
      <c r="D28" s="43" t="s">
        <v>39</v>
      </c>
      <c r="E28" s="44" t="s">
        <v>108</v>
      </c>
      <c r="F28" s="43" t="s">
        <v>90</v>
      </c>
      <c r="G28" s="43"/>
      <c r="H28" s="43"/>
      <c r="I28" s="45"/>
      <c r="J28" s="45"/>
      <c r="K28" s="45"/>
      <c r="L28" s="45">
        <f>L25+30</f>
        <v>45002.0</v>
      </c>
      <c r="M28" s="43" t="s">
        <v>109</v>
      </c>
      <c r="N28" s="43" t="s">
        <v>109</v>
      </c>
      <c r="O28" s="43" t="s">
        <v>109</v>
      </c>
      <c r="P28" s="43" t="s">
        <v>109</v>
      </c>
      <c r="Q28" s="43" t="s">
        <v>109</v>
      </c>
      <c r="R28" s="43" t="s">
        <v>109</v>
      </c>
      <c r="S28" s="43" t="s">
        <v>109</v>
      </c>
      <c r="T28" s="47" t="s">
        <v>110</v>
      </c>
      <c r="U28" s="48" t="s">
        <v>111</v>
      </c>
    </row>
    <row r="29" spans="8:8" ht="34.95" hidden="1" customHeight="1">
      <c r="A29" s="22"/>
      <c r="B29" s="22"/>
      <c r="C29" s="22">
        <v>17.0</v>
      </c>
      <c r="D29" s="43" t="s">
        <v>39</v>
      </c>
      <c r="E29" s="44" t="s">
        <v>112</v>
      </c>
      <c r="F29" s="43" t="s">
        <v>36</v>
      </c>
      <c r="G29" s="43"/>
      <c r="H29" s="43"/>
      <c r="I29" s="45"/>
      <c r="J29" s="45"/>
      <c r="K29" s="45"/>
      <c r="L29" s="45">
        <f>IF(前置信息!$B$8&lt;=4,L82-130,IF(AND(前置信息!$B$8&gt;11,前置信息!$B$8&lt;27),L82-130,L82-120))</f>
        <v>44994.0</v>
      </c>
      <c r="M29" s="43" t="s">
        <v>113</v>
      </c>
      <c r="N29" s="43" t="s">
        <v>113</v>
      </c>
      <c r="O29" s="43" t="s">
        <v>114</v>
      </c>
      <c r="P29" s="43" t="s">
        <v>114</v>
      </c>
      <c r="Q29" s="43" t="s">
        <v>114</v>
      </c>
      <c r="R29" s="43" t="s">
        <v>114</v>
      </c>
      <c r="S29" s="43" t="s">
        <v>114</v>
      </c>
      <c r="T29" s="47" t="s">
        <v>115</v>
      </c>
      <c r="U29" s="48"/>
    </row>
    <row r="30" spans="8:8" ht="34.95" hidden="1" customHeight="1">
      <c r="A30" s="22"/>
      <c r="B30" s="22"/>
      <c r="C30" s="22">
        <v>18.0</v>
      </c>
      <c r="D30" s="43" t="s">
        <v>39</v>
      </c>
      <c r="E30" s="44" t="s">
        <v>116</v>
      </c>
      <c r="F30" s="43" t="s">
        <v>68</v>
      </c>
      <c r="G30" s="43"/>
      <c r="H30" s="43"/>
      <c r="I30" s="45"/>
      <c r="J30" s="45"/>
      <c r="K30" s="45"/>
      <c r="L30" s="45">
        <f>L82-125</f>
        <v>44999.0</v>
      </c>
      <c r="M30" s="43" t="s">
        <v>117</v>
      </c>
      <c r="N30" s="43" t="s">
        <v>117</v>
      </c>
      <c r="O30" s="43" t="s">
        <v>117</v>
      </c>
      <c r="P30" s="43" t="s">
        <v>117</v>
      </c>
      <c r="Q30" s="43" t="s">
        <v>117</v>
      </c>
      <c r="R30" s="43" t="s">
        <v>117</v>
      </c>
      <c r="S30" s="43" t="s">
        <v>117</v>
      </c>
      <c r="T30" s="64" t="s">
        <v>118</v>
      </c>
      <c r="U30" s="48"/>
    </row>
    <row r="31" spans="8:8" ht="34.95" hidden="1" customHeight="1">
      <c r="A31" s="22"/>
      <c r="B31" s="22">
        <v>8.0</v>
      </c>
      <c r="C31" s="22"/>
      <c r="D31" s="29" t="s">
        <v>15</v>
      </c>
      <c r="E31" s="29" t="s">
        <v>119</v>
      </c>
      <c r="F31" s="29" t="s">
        <v>64</v>
      </c>
      <c r="G31" s="29"/>
      <c r="H31" s="29"/>
      <c r="I31" s="37"/>
      <c r="J31" s="37"/>
      <c r="K31" s="37"/>
      <c r="L31" s="37">
        <f>L25+15</f>
        <v>44987.0</v>
      </c>
      <c r="M31" s="31" t="s">
        <v>120</v>
      </c>
      <c r="N31" s="31" t="s">
        <v>120</v>
      </c>
      <c r="O31" s="31" t="s">
        <v>120</v>
      </c>
      <c r="P31" s="31" t="s">
        <v>120</v>
      </c>
      <c r="Q31" s="31" t="s">
        <v>120</v>
      </c>
      <c r="R31" s="31" t="s">
        <v>120</v>
      </c>
      <c r="S31" s="31" t="s">
        <v>120</v>
      </c>
      <c r="T31" s="32" t="s">
        <v>120</v>
      </c>
      <c r="U31" s="33" t="s">
        <v>121</v>
      </c>
    </row>
    <row r="32" spans="8:8" ht="60.0" hidden="1">
      <c r="A32" s="22"/>
      <c r="B32" s="22"/>
      <c r="C32" s="22">
        <v>19.0</v>
      </c>
      <c r="D32" s="43" t="s">
        <v>39</v>
      </c>
      <c r="E32" s="50" t="s">
        <v>122</v>
      </c>
      <c r="F32" s="49" t="s">
        <v>46</v>
      </c>
      <c r="G32" s="49"/>
      <c r="H32" s="49"/>
      <c r="I32" s="45"/>
      <c r="J32" s="45"/>
      <c r="K32" s="45"/>
      <c r="L32" s="45">
        <f>L82-125</f>
        <v>44999.0</v>
      </c>
      <c r="M32" s="43" t="s">
        <v>123</v>
      </c>
      <c r="N32" s="43" t="s">
        <v>123</v>
      </c>
      <c r="O32" s="43" t="s">
        <v>123</v>
      </c>
      <c r="P32" s="43" t="s">
        <v>123</v>
      </c>
      <c r="Q32" s="43" t="s">
        <v>117</v>
      </c>
      <c r="R32" s="43" t="s">
        <v>123</v>
      </c>
      <c r="S32" s="43" t="s">
        <v>123</v>
      </c>
      <c r="T32" s="62" t="s">
        <v>536</v>
      </c>
      <c r="U32" s="65" t="s">
        <v>535</v>
      </c>
    </row>
    <row r="33" spans="8:8" ht="34.95" hidden="1" customHeight="1">
      <c r="A33" s="22"/>
      <c r="B33" s="22"/>
      <c r="C33" s="22">
        <v>20.0</v>
      </c>
      <c r="D33" s="43" t="s">
        <v>39</v>
      </c>
      <c r="E33" s="44" t="s">
        <v>124</v>
      </c>
      <c r="F33" s="43" t="s">
        <v>36</v>
      </c>
      <c r="G33" s="43"/>
      <c r="H33" s="43"/>
      <c r="I33" s="45"/>
      <c r="J33" s="45"/>
      <c r="K33" s="45"/>
      <c r="L33" s="45">
        <f>L89-135</f>
        <v>45004.0</v>
      </c>
      <c r="M33" s="43" t="s">
        <v>125</v>
      </c>
      <c r="N33" s="43" t="s">
        <v>125</v>
      </c>
      <c r="O33" s="43" t="s">
        <v>125</v>
      </c>
      <c r="P33" s="43" t="s">
        <v>125</v>
      </c>
      <c r="Q33" s="43" t="s">
        <v>125</v>
      </c>
      <c r="R33" s="43" t="s">
        <v>125</v>
      </c>
      <c r="S33" s="43" t="s">
        <v>125</v>
      </c>
      <c r="T33" s="47" t="s">
        <v>115</v>
      </c>
      <c r="U33" s="48"/>
    </row>
    <row r="34" spans="8:8" ht="34.95" hidden="1" customHeight="1">
      <c r="A34" s="22"/>
      <c r="B34" s="22"/>
      <c r="C34" s="22">
        <v>21.0</v>
      </c>
      <c r="D34" s="43" t="s">
        <v>39</v>
      </c>
      <c r="E34" s="44" t="s">
        <v>126</v>
      </c>
      <c r="F34" s="43" t="s">
        <v>68</v>
      </c>
      <c r="G34" s="43"/>
      <c r="H34" s="43"/>
      <c r="I34" s="45"/>
      <c r="J34" s="45"/>
      <c r="K34" s="45"/>
      <c r="L34" s="45">
        <f>IF(前置信息!$B$8&lt;=4,L52-15,IF(AND(前置信息!$B$8&gt;11,前置信息!$B$8&lt;27),L52-15,L16+15))</f>
        <v>44989.0</v>
      </c>
      <c r="M34" s="43" t="s">
        <v>127</v>
      </c>
      <c r="N34" s="43" t="s">
        <v>127</v>
      </c>
      <c r="O34" s="43" t="s">
        <v>128</v>
      </c>
      <c r="P34" s="43" t="s">
        <v>128</v>
      </c>
      <c r="Q34" s="43" t="s">
        <v>128</v>
      </c>
      <c r="R34" s="43" t="s">
        <v>128</v>
      </c>
      <c r="S34" s="43" t="s">
        <v>128</v>
      </c>
      <c r="T34" s="47" t="s">
        <v>129</v>
      </c>
      <c r="U34" s="48" t="s">
        <v>130</v>
      </c>
    </row>
    <row r="35" spans="8:8" ht="34.95" hidden="1" customHeight="1">
      <c r="A35" s="22"/>
      <c r="B35" s="22"/>
      <c r="C35" s="22">
        <v>22.0</v>
      </c>
      <c r="D35" s="43" t="s">
        <v>39</v>
      </c>
      <c r="E35" s="44" t="s">
        <v>131</v>
      </c>
      <c r="F35" s="43" t="s">
        <v>41</v>
      </c>
      <c r="G35" s="43"/>
      <c r="H35" s="43"/>
      <c r="I35" s="45"/>
      <c r="J35" s="45"/>
      <c r="K35" s="45"/>
      <c r="L35" s="45">
        <f>IF(前置信息!$B$8&lt;=4,L82-120,IF(AND(前置信息!$B$8&gt;11,前置信息!$B$8&lt;27),L82-120,L82-90))</f>
        <v>45004.0</v>
      </c>
      <c r="M35" s="43" t="s">
        <v>132</v>
      </c>
      <c r="N35" s="43" t="s">
        <v>132</v>
      </c>
      <c r="O35" s="43" t="s">
        <v>133</v>
      </c>
      <c r="P35" s="43" t="s">
        <v>133</v>
      </c>
      <c r="Q35" s="43" t="s">
        <v>134</v>
      </c>
      <c r="R35" s="43" t="s">
        <v>133</v>
      </c>
      <c r="S35" s="43" t="s">
        <v>133</v>
      </c>
      <c r="T35" s="64" t="s">
        <v>110</v>
      </c>
      <c r="U35" s="67" t="s">
        <v>111</v>
      </c>
    </row>
    <row r="36" spans="8:8" ht="34.95" hidden="1" customHeight="1">
      <c r="A36" s="22"/>
      <c r="B36" s="22">
        <v>9.0</v>
      </c>
      <c r="C36" s="22"/>
      <c r="D36" s="29" t="s">
        <v>15</v>
      </c>
      <c r="E36" s="29" t="s">
        <v>135</v>
      </c>
      <c r="F36" s="39" t="s">
        <v>52</v>
      </c>
      <c r="G36" s="39"/>
      <c r="H36" s="39"/>
      <c r="I36" s="68"/>
      <c r="J36" s="68"/>
      <c r="K36" s="68"/>
      <c r="L36" s="68">
        <f>IF(前置信息!$B$8&lt;=4,L93-150,IF(AND(前置信息!$B$8&gt;11,前置信息!$B$8&lt;27),L93-150,L93-120))</f>
        <v>45004.0</v>
      </c>
      <c r="M36" s="69" t="s">
        <v>136</v>
      </c>
      <c r="N36" s="69" t="s">
        <v>136</v>
      </c>
      <c r="O36" s="69" t="s">
        <v>137</v>
      </c>
      <c r="P36" s="69" t="s">
        <v>137</v>
      </c>
      <c r="Q36" s="69" t="s">
        <v>137</v>
      </c>
      <c r="R36" s="69" t="s">
        <v>137</v>
      </c>
      <c r="S36" s="69" t="s">
        <v>137</v>
      </c>
      <c r="T36" s="70" t="s">
        <v>138</v>
      </c>
      <c r="U36" s="71" t="s">
        <v>139</v>
      </c>
    </row>
    <row r="37" spans="8:8" ht="34.95" hidden="1" customHeight="1">
      <c r="A37" s="22"/>
      <c r="B37" s="22"/>
      <c r="C37" s="22">
        <v>23.0</v>
      </c>
      <c r="D37" s="43" t="s">
        <v>39</v>
      </c>
      <c r="E37" s="44" t="s">
        <v>140</v>
      </c>
      <c r="F37" s="43" t="s">
        <v>68</v>
      </c>
      <c r="G37" s="43"/>
      <c r="H37" s="43"/>
      <c r="I37" s="45"/>
      <c r="J37" s="45"/>
      <c r="K37" s="45"/>
      <c r="L37" s="45">
        <f>L28+15</f>
        <v>45017.0</v>
      </c>
      <c r="M37" s="43" t="s">
        <v>141</v>
      </c>
      <c r="N37" s="43" t="s">
        <v>141</v>
      </c>
      <c r="O37" s="43" t="s">
        <v>141</v>
      </c>
      <c r="P37" s="43" t="s">
        <v>141</v>
      </c>
      <c r="Q37" s="43" t="s">
        <v>141</v>
      </c>
      <c r="R37" s="43" t="s">
        <v>141</v>
      </c>
      <c r="S37" s="43" t="s">
        <v>141</v>
      </c>
      <c r="T37" s="47" t="s">
        <v>142</v>
      </c>
      <c r="U37" s="48"/>
    </row>
    <row r="38" spans="8:8" ht="34.95" hidden="1" customHeight="1">
      <c r="A38" s="22"/>
      <c r="B38" s="22">
        <v>10.0</v>
      </c>
      <c r="C38" s="22"/>
      <c r="D38" s="29" t="s">
        <v>15</v>
      </c>
      <c r="E38" s="29" t="s">
        <v>143</v>
      </c>
      <c r="F38" s="29" t="s">
        <v>20</v>
      </c>
      <c r="G38" s="29"/>
      <c r="H38" s="29"/>
      <c r="I38" s="37"/>
      <c r="J38" s="37"/>
      <c r="K38" s="37"/>
      <c r="L38" s="37">
        <f>L25+25</f>
        <v>44997.0</v>
      </c>
      <c r="M38" s="31" t="s">
        <v>144</v>
      </c>
      <c r="N38" s="31" t="s">
        <v>144</v>
      </c>
      <c r="O38" s="31" t="s">
        <v>145</v>
      </c>
      <c r="P38" s="31" t="s">
        <v>145</v>
      </c>
      <c r="Q38" s="31" t="s">
        <v>145</v>
      </c>
      <c r="R38" s="31" t="s">
        <v>145</v>
      </c>
      <c r="S38" s="31" t="s">
        <v>145</v>
      </c>
      <c r="T38" s="34" t="s">
        <v>146</v>
      </c>
      <c r="U38" s="34"/>
    </row>
    <row r="39" spans="8:8" ht="34.95" hidden="1" customHeight="1">
      <c r="A39" s="22"/>
      <c r="B39" s="22">
        <v>11.0</v>
      </c>
      <c r="C39" s="22"/>
      <c r="D39" s="29" t="s">
        <v>15</v>
      </c>
      <c r="E39" s="29" t="s">
        <v>147</v>
      </c>
      <c r="F39" s="29" t="s">
        <v>64</v>
      </c>
      <c r="G39" s="29"/>
      <c r="H39" s="29"/>
      <c r="I39" s="68"/>
      <c r="J39" s="68"/>
      <c r="K39" s="68"/>
      <c r="L39" s="68">
        <f>L31+10</f>
        <v>44997.0</v>
      </c>
      <c r="M39" s="69" t="s">
        <v>148</v>
      </c>
      <c r="N39" s="69" t="s">
        <v>148</v>
      </c>
      <c r="O39" s="69" t="s">
        <v>148</v>
      </c>
      <c r="P39" s="69" t="s">
        <v>148</v>
      </c>
      <c r="Q39" s="69" t="s">
        <v>148</v>
      </c>
      <c r="R39" s="69" t="s">
        <v>148</v>
      </c>
      <c r="S39" s="69" t="s">
        <v>148</v>
      </c>
      <c r="T39" s="32" t="s">
        <v>148</v>
      </c>
      <c r="U39" s="33"/>
    </row>
    <row r="40" spans="8:8" ht="30.0" hidden="1">
      <c r="A40" s="22"/>
      <c r="B40" s="22">
        <v>12.0</v>
      </c>
      <c r="C40" s="22"/>
      <c r="D40" s="29" t="s">
        <v>15</v>
      </c>
      <c r="E40" s="29" t="s">
        <v>149</v>
      </c>
      <c r="F40" s="39" t="s">
        <v>90</v>
      </c>
      <c r="G40" s="39"/>
      <c r="H40" s="39"/>
      <c r="I40" s="37"/>
      <c r="J40" s="37"/>
      <c r="K40" s="37"/>
      <c r="L40" s="37">
        <f>L25+30</f>
        <v>45002.0</v>
      </c>
      <c r="M40" s="31" t="s">
        <v>109</v>
      </c>
      <c r="N40" s="31" t="s">
        <v>109</v>
      </c>
      <c r="O40" s="31" t="s">
        <v>109</v>
      </c>
      <c r="P40" s="31" t="s">
        <v>109</v>
      </c>
      <c r="Q40" s="31" t="s">
        <v>109</v>
      </c>
      <c r="R40" s="31" t="s">
        <v>109</v>
      </c>
      <c r="S40" s="31" t="s">
        <v>109</v>
      </c>
      <c r="T40" s="41" t="s">
        <v>150</v>
      </c>
      <c r="U40" s="71" t="s">
        <v>151</v>
      </c>
    </row>
    <row r="41" spans="8:8" ht="55.2" hidden="1" customHeight="1">
      <c r="A41" s="22"/>
      <c r="B41" s="22">
        <v>13.0</v>
      </c>
      <c r="C41" s="22"/>
      <c r="D41" s="29" t="s">
        <v>15</v>
      </c>
      <c r="E41" s="29" t="s">
        <v>152</v>
      </c>
      <c r="F41" s="29" t="s">
        <v>36</v>
      </c>
      <c r="G41" s="29"/>
      <c r="H41" s="29"/>
      <c r="I41" s="37"/>
      <c r="J41" s="37"/>
      <c r="K41" s="37"/>
      <c r="L41" s="37">
        <f>L25+30</f>
        <v>45002.0</v>
      </c>
      <c r="M41" s="31" t="s">
        <v>153</v>
      </c>
      <c r="N41" s="31" t="s">
        <v>153</v>
      </c>
      <c r="O41" s="31" t="s">
        <v>153</v>
      </c>
      <c r="P41" s="31" t="s">
        <v>153</v>
      </c>
      <c r="Q41" s="31" t="s">
        <v>153</v>
      </c>
      <c r="R41" s="31" t="s">
        <v>153</v>
      </c>
      <c r="S41" s="31" t="s">
        <v>153</v>
      </c>
      <c r="T41" s="32" t="s">
        <v>154</v>
      </c>
      <c r="U41" s="33" t="s">
        <v>155</v>
      </c>
    </row>
    <row r="42" spans="8:8" ht="34.95" hidden="1" customHeight="1">
      <c r="A42" s="22"/>
      <c r="B42" s="22">
        <v>14.0</v>
      </c>
      <c r="C42" s="22"/>
      <c r="D42" s="29" t="s">
        <v>15</v>
      </c>
      <c r="E42" s="29" t="s">
        <v>156</v>
      </c>
      <c r="F42" s="29" t="s">
        <v>90</v>
      </c>
      <c r="G42" s="29"/>
      <c r="H42" s="29"/>
      <c r="I42" s="37"/>
      <c r="J42" s="37"/>
      <c r="K42" s="37"/>
      <c r="L42" s="37">
        <f>L25+30</f>
        <v>45002.0</v>
      </c>
      <c r="M42" s="31" t="s">
        <v>153</v>
      </c>
      <c r="N42" s="31" t="s">
        <v>153</v>
      </c>
      <c r="O42" s="31" t="s">
        <v>153</v>
      </c>
      <c r="P42" s="31" t="s">
        <v>153</v>
      </c>
      <c r="Q42" s="31" t="s">
        <v>153</v>
      </c>
      <c r="R42" s="31" t="s">
        <v>153</v>
      </c>
      <c r="S42" s="31" t="s">
        <v>153</v>
      </c>
      <c r="T42" s="41" t="s">
        <v>110</v>
      </c>
      <c r="U42" s="34" t="s">
        <v>157</v>
      </c>
    </row>
    <row r="43" spans="8:8" ht="90.0" hidden="1">
      <c r="A43" s="22"/>
      <c r="B43" s="22"/>
      <c r="C43" s="22">
        <v>24.0</v>
      </c>
      <c r="D43" s="43" t="s">
        <v>39</v>
      </c>
      <c r="E43" s="44" t="s">
        <v>158</v>
      </c>
      <c r="F43" s="43" t="s">
        <v>36</v>
      </c>
      <c r="G43" s="43"/>
      <c r="H43" s="43"/>
      <c r="I43" s="43"/>
      <c r="J43" s="43"/>
      <c r="K43" s="43"/>
      <c r="L43" s="45">
        <f>L25+15</f>
        <v>44987.0</v>
      </c>
      <c r="M43" s="72" t="s">
        <v>478</v>
      </c>
      <c r="N43" s="43"/>
      <c r="O43" s="43"/>
      <c r="P43" s="43"/>
      <c r="Q43" s="43"/>
      <c r="R43" s="43"/>
      <c r="S43" s="43"/>
      <c r="T43" s="47" t="s">
        <v>159</v>
      </c>
      <c r="U43" s="48" t="s">
        <v>477</v>
      </c>
    </row>
    <row r="44" spans="8:8" ht="34.95" hidden="1" customHeight="1">
      <c r="A44" s="22"/>
      <c r="B44" s="22"/>
      <c r="C44" s="22">
        <v>25.0</v>
      </c>
      <c r="D44" s="43" t="s">
        <v>39</v>
      </c>
      <c r="E44" s="44" t="s">
        <v>160</v>
      </c>
      <c r="F44" s="43" t="s">
        <v>20</v>
      </c>
      <c r="G44" s="43"/>
      <c r="H44" s="43"/>
      <c r="I44" s="45"/>
      <c r="J44" s="45"/>
      <c r="K44" s="45"/>
      <c r="L44" s="45">
        <f>L38+5</f>
        <v>45002.0</v>
      </c>
      <c r="M44" s="73" t="s">
        <v>161</v>
      </c>
      <c r="N44" s="73" t="s">
        <v>161</v>
      </c>
      <c r="O44" s="73" t="s">
        <v>161</v>
      </c>
      <c r="P44" s="73" t="s">
        <v>161</v>
      </c>
      <c r="Q44" s="73" t="s">
        <v>161</v>
      </c>
      <c r="R44" s="73" t="s">
        <v>161</v>
      </c>
      <c r="S44" s="73" t="s">
        <v>161</v>
      </c>
      <c r="T44" s="47" t="s">
        <v>162</v>
      </c>
      <c r="U44" s="48"/>
    </row>
    <row r="45" spans="8:8" ht="60.0" hidden="1">
      <c r="A45" s="22"/>
      <c r="B45" s="22"/>
      <c r="C45" s="22">
        <v>26.0</v>
      </c>
      <c r="D45" s="43" t="s">
        <v>39</v>
      </c>
      <c r="E45" s="50" t="s">
        <v>163</v>
      </c>
      <c r="F45" s="49" t="s">
        <v>41</v>
      </c>
      <c r="G45" s="49"/>
      <c r="H45" s="49"/>
      <c r="I45" s="45"/>
      <c r="J45" s="45"/>
      <c r="K45" s="45"/>
      <c r="L45" s="45">
        <f>IF(前置信息!$B$8&lt;=4,L82-110,IF(AND(前置信息!$B$8&gt;11,前置信息!$B$8&lt;27),L82-110,L82-120))</f>
        <v>45014.0</v>
      </c>
      <c r="M45" s="43" t="s">
        <v>164</v>
      </c>
      <c r="N45" s="43" t="s">
        <v>164</v>
      </c>
      <c r="O45" s="43" t="s">
        <v>132</v>
      </c>
      <c r="P45" s="43" t="s">
        <v>132</v>
      </c>
      <c r="Q45" s="43" t="s">
        <v>114</v>
      </c>
      <c r="R45" s="43" t="s">
        <v>132</v>
      </c>
      <c r="S45" s="43" t="s">
        <v>132</v>
      </c>
      <c r="T45" s="65" t="s">
        <v>531</v>
      </c>
      <c r="U45" s="74" t="s">
        <v>537</v>
      </c>
    </row>
    <row r="46" spans="8:8" ht="33.45" hidden="1" customHeight="1">
      <c r="A46" s="22"/>
      <c r="B46" s="22"/>
      <c r="C46" s="22">
        <v>27.0</v>
      </c>
      <c r="D46" s="43" t="s">
        <v>39</v>
      </c>
      <c r="E46" s="50" t="s">
        <v>165</v>
      </c>
      <c r="F46" s="49" t="s">
        <v>46</v>
      </c>
      <c r="G46" s="49"/>
      <c r="H46" s="49"/>
      <c r="I46" s="45"/>
      <c r="J46" s="45"/>
      <c r="K46" s="45"/>
      <c r="L46" s="45">
        <f>L25+30</f>
        <v>45002.0</v>
      </c>
      <c r="M46" s="43" t="s">
        <v>166</v>
      </c>
      <c r="N46" s="43" t="s">
        <v>166</v>
      </c>
      <c r="O46" s="43" t="s">
        <v>166</v>
      </c>
      <c r="P46" s="43" t="s">
        <v>166</v>
      </c>
      <c r="Q46" s="43" t="s">
        <v>166</v>
      </c>
      <c r="R46" s="43" t="s">
        <v>166</v>
      </c>
      <c r="S46" s="43" t="s">
        <v>166</v>
      </c>
      <c r="T46" s="51"/>
      <c r="U46" s="52"/>
    </row>
    <row r="47" spans="8:8" ht="45.0" hidden="1">
      <c r="A47" s="22"/>
      <c r="B47" s="22"/>
      <c r="C47" s="22">
        <v>28.0</v>
      </c>
      <c r="D47" s="43" t="s">
        <v>39</v>
      </c>
      <c r="E47" s="50" t="s">
        <v>167</v>
      </c>
      <c r="F47" s="49" t="s">
        <v>56</v>
      </c>
      <c r="G47" s="49"/>
      <c r="H47" s="49"/>
      <c r="I47" s="45"/>
      <c r="J47" s="45"/>
      <c r="K47" s="45"/>
      <c r="L47" s="45">
        <f>L25+30</f>
        <v>45002.0</v>
      </c>
      <c r="M47" s="43" t="s">
        <v>166</v>
      </c>
      <c r="N47" s="43" t="s">
        <v>166</v>
      </c>
      <c r="O47" s="43" t="s">
        <v>166</v>
      </c>
      <c r="P47" s="43" t="s">
        <v>166</v>
      </c>
      <c r="Q47" s="43" t="s">
        <v>166</v>
      </c>
      <c r="R47" s="43" t="s">
        <v>166</v>
      </c>
      <c r="S47" s="43" t="s">
        <v>166</v>
      </c>
      <c r="T47" s="51" t="s">
        <v>168</v>
      </c>
      <c r="U47" s="52" t="s">
        <v>169</v>
      </c>
    </row>
    <row r="48" spans="8:8" ht="26.4" hidden="1" customHeight="1">
      <c r="A48" s="22"/>
      <c r="B48" s="22"/>
      <c r="C48" s="22"/>
      <c r="D48" s="75" t="s">
        <v>468</v>
      </c>
      <c r="E48" s="76" t="s">
        <v>469</v>
      </c>
      <c r="F48" s="77" t="s">
        <v>470</v>
      </c>
      <c r="G48" s="77"/>
      <c r="H48" s="77"/>
      <c r="I48" s="78"/>
      <c r="J48" s="78"/>
      <c r="K48" s="78"/>
      <c r="L48" s="78">
        <f>L41+60</f>
        <v>45062.0</v>
      </c>
      <c r="M48" s="79" t="s">
        <v>471</v>
      </c>
      <c r="N48" s="75"/>
      <c r="O48" s="75"/>
      <c r="P48" s="75"/>
      <c r="Q48" s="75"/>
      <c r="R48" s="75"/>
      <c r="S48" s="75"/>
      <c r="T48" s="80"/>
      <c r="U48" s="81"/>
    </row>
    <row r="49" spans="8:8" ht="34.95" hidden="1" customHeight="1">
      <c r="A49" s="22"/>
      <c r="B49" s="22"/>
      <c r="C49" s="22">
        <v>29.0</v>
      </c>
      <c r="D49" s="49" t="s">
        <v>39</v>
      </c>
      <c r="E49" s="50" t="s">
        <v>170</v>
      </c>
      <c r="F49" s="49" t="s">
        <v>36</v>
      </c>
      <c r="G49" s="49"/>
      <c r="H49" s="49"/>
      <c r="I49" s="45"/>
      <c r="J49" s="45"/>
      <c r="K49" s="45"/>
      <c r="L49" s="45">
        <f>L25+30</f>
        <v>45002.0</v>
      </c>
      <c r="M49" s="43" t="s">
        <v>166</v>
      </c>
      <c r="N49" s="43" t="s">
        <v>166</v>
      </c>
      <c r="O49" s="43" t="s">
        <v>166</v>
      </c>
      <c r="P49" s="43" t="s">
        <v>166</v>
      </c>
      <c r="Q49" s="43" t="s">
        <v>166</v>
      </c>
      <c r="R49" s="43" t="s">
        <v>166</v>
      </c>
      <c r="S49" s="43" t="s">
        <v>166</v>
      </c>
      <c r="T49" s="51" t="s">
        <v>171</v>
      </c>
      <c r="U49" s="52" t="s">
        <v>51</v>
      </c>
    </row>
    <row r="50" spans="8:8" ht="34.95" hidden="1" customHeight="1">
      <c r="A50" s="22"/>
      <c r="B50" s="22"/>
      <c r="C50" s="22">
        <v>30.0</v>
      </c>
      <c r="D50" s="43" t="s">
        <v>39</v>
      </c>
      <c r="E50" s="44" t="s">
        <v>172</v>
      </c>
      <c r="F50" s="43" t="s">
        <v>68</v>
      </c>
      <c r="G50" s="43"/>
      <c r="H50" s="43"/>
      <c r="I50" s="45"/>
      <c r="J50" s="45"/>
      <c r="K50" s="45"/>
      <c r="L50" s="45">
        <f>L42+1</f>
        <v>45003.0</v>
      </c>
      <c r="M50" s="43" t="s">
        <v>173</v>
      </c>
      <c r="N50" s="43" t="s">
        <v>174</v>
      </c>
      <c r="O50" s="43" t="s">
        <v>174</v>
      </c>
      <c r="P50" s="43" t="s">
        <v>174</v>
      </c>
      <c r="Q50" s="43" t="s">
        <v>174</v>
      </c>
      <c r="R50" s="43" t="s">
        <v>174</v>
      </c>
      <c r="S50" s="43" t="s">
        <v>174</v>
      </c>
      <c r="T50" s="47" t="s">
        <v>175</v>
      </c>
      <c r="U50" s="48"/>
    </row>
    <row r="51" spans="8:8" ht="45.0" hidden="1">
      <c r="A51" s="22"/>
      <c r="B51" s="22"/>
      <c r="C51" s="22">
        <v>31.0</v>
      </c>
      <c r="D51" s="49" t="s">
        <v>39</v>
      </c>
      <c r="E51" s="50" t="s">
        <v>176</v>
      </c>
      <c r="F51" s="49" t="s">
        <v>68</v>
      </c>
      <c r="G51" s="49"/>
      <c r="H51" s="49"/>
      <c r="I51" s="45"/>
      <c r="J51" s="45"/>
      <c r="K51" s="45"/>
      <c r="L51" s="45">
        <f>L50+1</f>
        <v>45004.0</v>
      </c>
      <c r="M51" s="43" t="s">
        <v>177</v>
      </c>
      <c r="N51" s="43" t="s">
        <v>178</v>
      </c>
      <c r="O51" s="43" t="s">
        <v>178</v>
      </c>
      <c r="P51" s="43" t="s">
        <v>178</v>
      </c>
      <c r="Q51" s="43" t="s">
        <v>178</v>
      </c>
      <c r="R51" s="43" t="s">
        <v>178</v>
      </c>
      <c r="S51" s="43" t="s">
        <v>178</v>
      </c>
      <c r="T51" s="62" t="s">
        <v>530</v>
      </c>
      <c r="U51" s="52" t="s">
        <v>179</v>
      </c>
    </row>
    <row r="52" spans="8:8" ht="34.95" hidden="1" customHeight="1">
      <c r="A52" s="22"/>
      <c r="B52" s="22">
        <v>15.0</v>
      </c>
      <c r="C52" s="22"/>
      <c r="D52" s="29" t="s">
        <v>15</v>
      </c>
      <c r="E52" s="29" t="s">
        <v>180</v>
      </c>
      <c r="F52" s="39" t="s">
        <v>68</v>
      </c>
      <c r="G52" s="39"/>
      <c r="H52" s="39"/>
      <c r="I52" s="68"/>
      <c r="J52" s="68"/>
      <c r="K52" s="68"/>
      <c r="L52" s="68">
        <f>L53</f>
        <v>45004.0</v>
      </c>
      <c r="M52" s="69" t="s">
        <v>181</v>
      </c>
      <c r="N52" s="69" t="s">
        <v>181</v>
      </c>
      <c r="O52" s="69" t="s">
        <v>182</v>
      </c>
      <c r="P52" s="69" t="s">
        <v>182</v>
      </c>
      <c r="Q52" s="69" t="s">
        <v>182</v>
      </c>
      <c r="R52" s="69" t="s">
        <v>182</v>
      </c>
      <c r="S52" s="69" t="s">
        <v>182</v>
      </c>
      <c r="T52" s="70" t="s">
        <v>183</v>
      </c>
      <c r="U52" s="71"/>
    </row>
    <row r="53" spans="8:8" ht="34.95" customHeight="1">
      <c r="A53" s="22">
        <v>3.0</v>
      </c>
      <c r="B53" s="22"/>
      <c r="C53" s="22"/>
      <c r="D53" s="53" t="s">
        <v>62</v>
      </c>
      <c r="E53" s="53" t="s">
        <v>184</v>
      </c>
      <c r="F53" s="53" t="s">
        <v>20</v>
      </c>
      <c r="G53" s="53"/>
      <c r="H53" s="53"/>
      <c r="I53" s="54"/>
      <c r="J53" s="54"/>
      <c r="K53" s="54"/>
      <c r="L53" s="54">
        <f>L38+7</f>
        <v>45004.0</v>
      </c>
      <c r="M53" s="66" t="s">
        <v>185</v>
      </c>
      <c r="N53" s="66" t="s">
        <v>185</v>
      </c>
      <c r="O53" s="66" t="s">
        <v>185</v>
      </c>
      <c r="P53" s="66" t="s">
        <v>185</v>
      </c>
      <c r="Q53" s="66" t="s">
        <v>185</v>
      </c>
      <c r="R53" s="66" t="s">
        <v>185</v>
      </c>
      <c r="S53" s="66" t="s">
        <v>185</v>
      </c>
      <c r="T53" s="55" t="s">
        <v>186</v>
      </c>
      <c r="U53" s="53"/>
    </row>
    <row r="54" spans="8:8" ht="34.95" hidden="1" customHeight="1">
      <c r="A54" s="22"/>
      <c r="B54" s="22"/>
      <c r="C54" s="22">
        <v>32.0</v>
      </c>
      <c r="D54" s="49" t="s">
        <v>39</v>
      </c>
      <c r="E54" s="50" t="s">
        <v>187</v>
      </c>
      <c r="F54" s="49" t="s">
        <v>68</v>
      </c>
      <c r="G54" s="49"/>
      <c r="H54" s="49"/>
      <c r="I54" s="45"/>
      <c r="J54" s="45"/>
      <c r="K54" s="45"/>
      <c r="L54" s="45">
        <f>L42+3</f>
        <v>45005.0</v>
      </c>
      <c r="M54" s="43" t="s">
        <v>178</v>
      </c>
      <c r="N54" s="43" t="s">
        <v>178</v>
      </c>
      <c r="O54" s="43" t="s">
        <v>178</v>
      </c>
      <c r="P54" s="43" t="s">
        <v>178</v>
      </c>
      <c r="Q54" s="43" t="s">
        <v>178</v>
      </c>
      <c r="R54" s="43" t="s">
        <v>178</v>
      </c>
      <c r="S54" s="43" t="s">
        <v>178</v>
      </c>
      <c r="T54" s="51" t="s">
        <v>188</v>
      </c>
      <c r="U54" s="52" t="s">
        <v>189</v>
      </c>
    </row>
    <row r="55" spans="8:8" ht="34.95" hidden="1" customHeight="1">
      <c r="A55" s="22"/>
      <c r="B55" s="22">
        <v>16.0</v>
      </c>
      <c r="C55" s="22"/>
      <c r="D55" s="29" t="s">
        <v>15</v>
      </c>
      <c r="E55" s="29" t="s">
        <v>190</v>
      </c>
      <c r="F55" s="29" t="s">
        <v>36</v>
      </c>
      <c r="G55" s="29"/>
      <c r="H55" s="29"/>
      <c r="I55" s="37"/>
      <c r="J55" s="37"/>
      <c r="K55" s="37"/>
      <c r="L55" s="37">
        <f>L41+3</f>
        <v>45005.0</v>
      </c>
      <c r="M55" s="31" t="s">
        <v>191</v>
      </c>
      <c r="N55" s="31" t="s">
        <v>191</v>
      </c>
      <c r="O55" s="31" t="s">
        <v>192</v>
      </c>
      <c r="P55" s="31" t="s">
        <v>192</v>
      </c>
      <c r="Q55" s="31" t="s">
        <v>192</v>
      </c>
      <c r="R55" s="31" t="s">
        <v>192</v>
      </c>
      <c r="S55" s="31" t="s">
        <v>192</v>
      </c>
      <c r="T55" s="34" t="s">
        <v>190</v>
      </c>
      <c r="U55" s="34"/>
    </row>
    <row r="56" spans="8:8" ht="34.95" hidden="1" customHeight="1">
      <c r="A56" s="22"/>
      <c r="B56" s="82"/>
      <c r="C56" s="22">
        <v>33.0</v>
      </c>
      <c r="D56" s="43" t="s">
        <v>39</v>
      </c>
      <c r="E56" s="44" t="s">
        <v>193</v>
      </c>
      <c r="F56" s="43" t="s">
        <v>52</v>
      </c>
      <c r="G56" s="43"/>
      <c r="H56" s="43"/>
      <c r="I56" s="45"/>
      <c r="J56" s="45"/>
      <c r="K56" s="45"/>
      <c r="L56" s="45">
        <f>IF(AND(前置信息!$B$8&gt;11,前置信息!$B$8&lt;27),L93-132,L93-30)</f>
        <v>45022.0</v>
      </c>
      <c r="M56" s="43" t="s">
        <v>194</v>
      </c>
      <c r="N56" s="69" t="s">
        <v>195</v>
      </c>
      <c r="O56" s="69" t="s">
        <v>195</v>
      </c>
      <c r="P56" s="69" t="s">
        <v>195</v>
      </c>
      <c r="Q56" s="69" t="s">
        <v>195</v>
      </c>
      <c r="R56" s="69" t="s">
        <v>195</v>
      </c>
      <c r="S56" s="69" t="s">
        <v>195</v>
      </c>
      <c r="T56" s="83" t="s">
        <v>196</v>
      </c>
      <c r="U56" s="84" t="s">
        <v>197</v>
      </c>
    </row>
    <row r="57" spans="8:8" ht="34.95" hidden="1" customHeight="1">
      <c r="A57" s="22"/>
      <c r="B57" s="22"/>
      <c r="C57" s="22">
        <v>34.0</v>
      </c>
      <c r="D57" s="49" t="s">
        <v>39</v>
      </c>
      <c r="E57" s="50" t="s">
        <v>198</v>
      </c>
      <c r="F57" s="49" t="s">
        <v>68</v>
      </c>
      <c r="G57" s="49"/>
      <c r="H57" s="49"/>
      <c r="I57" s="45"/>
      <c r="J57" s="45"/>
      <c r="K57" s="45"/>
      <c r="L57" s="45">
        <f>L42+7</f>
        <v>45009.0</v>
      </c>
      <c r="M57" s="43" t="s">
        <v>199</v>
      </c>
      <c r="N57" s="43" t="s">
        <v>199</v>
      </c>
      <c r="O57" s="43" t="s">
        <v>199</v>
      </c>
      <c r="P57" s="43" t="s">
        <v>199</v>
      </c>
      <c r="Q57" s="43" t="s">
        <v>199</v>
      </c>
      <c r="R57" s="43" t="s">
        <v>199</v>
      </c>
      <c r="S57" s="43" t="s">
        <v>199</v>
      </c>
      <c r="T57" s="51" t="s">
        <v>200</v>
      </c>
      <c r="U57" s="52" t="s">
        <v>201</v>
      </c>
    </row>
    <row r="58" spans="8:8" ht="34.95" hidden="1" customHeight="1">
      <c r="A58" s="22"/>
      <c r="B58" s="22"/>
      <c r="C58" s="22">
        <v>35.0</v>
      </c>
      <c r="D58" s="49" t="s">
        <v>39</v>
      </c>
      <c r="E58" s="50" t="s">
        <v>202</v>
      </c>
      <c r="F58" s="49" t="s">
        <v>68</v>
      </c>
      <c r="G58" s="49"/>
      <c r="H58" s="49"/>
      <c r="I58" s="45"/>
      <c r="J58" s="45"/>
      <c r="K58" s="45"/>
      <c r="L58" s="45">
        <f>L42+10</f>
        <v>45012.0</v>
      </c>
      <c r="M58" s="43" t="s">
        <v>203</v>
      </c>
      <c r="N58" s="43" t="s">
        <v>203</v>
      </c>
      <c r="O58" s="43" t="s">
        <v>203</v>
      </c>
      <c r="P58" s="43" t="s">
        <v>203</v>
      </c>
      <c r="Q58" s="43" t="s">
        <v>203</v>
      </c>
      <c r="R58" s="43" t="s">
        <v>203</v>
      </c>
      <c r="S58" s="43" t="s">
        <v>203</v>
      </c>
      <c r="T58" s="51" t="s">
        <v>204</v>
      </c>
      <c r="U58" s="52" t="s">
        <v>130</v>
      </c>
    </row>
    <row r="59" spans="8:8" ht="34.95" hidden="1" customHeight="1">
      <c r="A59" s="22"/>
      <c r="B59" s="22"/>
      <c r="C59" s="22">
        <v>36.0</v>
      </c>
      <c r="D59" s="49" t="s">
        <v>39</v>
      </c>
      <c r="E59" s="50" t="s">
        <v>205</v>
      </c>
      <c r="F59" s="49" t="s">
        <v>68</v>
      </c>
      <c r="G59" s="49"/>
      <c r="H59" s="49"/>
      <c r="I59" s="45"/>
      <c r="J59" s="45"/>
      <c r="K59" s="45"/>
      <c r="L59" s="45">
        <f>L42+10</f>
        <v>45012.0</v>
      </c>
      <c r="M59" s="43" t="s">
        <v>203</v>
      </c>
      <c r="N59" s="43" t="s">
        <v>203</v>
      </c>
      <c r="O59" s="43" t="s">
        <v>203</v>
      </c>
      <c r="P59" s="43" t="s">
        <v>203</v>
      </c>
      <c r="Q59" s="43" t="s">
        <v>203</v>
      </c>
      <c r="R59" s="43" t="s">
        <v>203</v>
      </c>
      <c r="S59" s="43" t="s">
        <v>203</v>
      </c>
      <c r="T59" s="51" t="s">
        <v>204</v>
      </c>
      <c r="U59" s="52" t="s">
        <v>206</v>
      </c>
    </row>
    <row r="60" spans="8:8" ht="34.95" hidden="1" customHeight="1">
      <c r="A60" s="22"/>
      <c r="B60" s="22"/>
      <c r="C60" s="22">
        <v>37.0</v>
      </c>
      <c r="D60" s="43" t="s">
        <v>39</v>
      </c>
      <c r="E60" s="44" t="s">
        <v>207</v>
      </c>
      <c r="F60" s="43" t="s">
        <v>90</v>
      </c>
      <c r="G60" s="43"/>
      <c r="H60" s="43"/>
      <c r="I60" s="45"/>
      <c r="J60" s="45"/>
      <c r="K60" s="45"/>
      <c r="L60" s="45">
        <f>L82-90</f>
        <v>45034.0</v>
      </c>
      <c r="M60" s="43" t="s">
        <v>133</v>
      </c>
      <c r="N60" s="43" t="s">
        <v>133</v>
      </c>
      <c r="O60" s="43" t="s">
        <v>133</v>
      </c>
      <c r="P60" s="43" t="s">
        <v>133</v>
      </c>
      <c r="Q60" s="43" t="s">
        <v>133</v>
      </c>
      <c r="R60" s="43" t="s">
        <v>133</v>
      </c>
      <c r="S60" s="43" t="s">
        <v>133</v>
      </c>
      <c r="T60" s="64" t="s">
        <v>110</v>
      </c>
      <c r="U60" s="48" t="s">
        <v>111</v>
      </c>
    </row>
    <row r="61" spans="8:8" ht="34.95" hidden="1" customHeight="1">
      <c r="A61" s="22"/>
      <c r="B61" s="22"/>
      <c r="C61" s="22">
        <v>38.0</v>
      </c>
      <c r="D61" s="43" t="s">
        <v>39</v>
      </c>
      <c r="E61" s="44" t="s">
        <v>208</v>
      </c>
      <c r="F61" s="43" t="s">
        <v>90</v>
      </c>
      <c r="G61" s="43"/>
      <c r="H61" s="43"/>
      <c r="I61" s="45"/>
      <c r="J61" s="45"/>
      <c r="K61" s="45"/>
      <c r="L61" s="45">
        <f>L82-90</f>
        <v>45034.0</v>
      </c>
      <c r="M61" s="43" t="s">
        <v>133</v>
      </c>
      <c r="N61" s="43" t="s">
        <v>133</v>
      </c>
      <c r="O61" s="43" t="s">
        <v>133</v>
      </c>
      <c r="P61" s="43" t="s">
        <v>133</v>
      </c>
      <c r="Q61" s="43" t="s">
        <v>133</v>
      </c>
      <c r="R61" s="43" t="s">
        <v>133</v>
      </c>
      <c r="S61" s="43" t="s">
        <v>133</v>
      </c>
      <c r="T61" s="64" t="s">
        <v>110</v>
      </c>
      <c r="U61" s="48" t="s">
        <v>111</v>
      </c>
    </row>
    <row r="62" spans="8:8" ht="31.95" hidden="1" customHeight="1">
      <c r="A62" s="22"/>
      <c r="B62" s="22"/>
      <c r="C62" s="22">
        <v>39.0</v>
      </c>
      <c r="D62" s="43" t="s">
        <v>39</v>
      </c>
      <c r="E62" s="44" t="s">
        <v>209</v>
      </c>
      <c r="F62" s="43" t="s">
        <v>52</v>
      </c>
      <c r="G62" s="43"/>
      <c r="H62" s="43"/>
      <c r="I62" s="45"/>
      <c r="J62" s="45"/>
      <c r="K62" s="45"/>
      <c r="L62" s="45">
        <f>IF(前置信息!$B$8&lt;=4,L93-120,IF(AND(前置信息!$B$8&gt;11,前置信息!$B$8&lt;27),L93-120,L93-90))</f>
        <v>45034.0</v>
      </c>
      <c r="M62" s="43" t="s">
        <v>137</v>
      </c>
      <c r="N62" s="43" t="s">
        <v>137</v>
      </c>
      <c r="O62" s="43" t="s">
        <v>210</v>
      </c>
      <c r="P62" s="43" t="s">
        <v>210</v>
      </c>
      <c r="Q62" s="43" t="s">
        <v>210</v>
      </c>
      <c r="R62" s="43" t="s">
        <v>210</v>
      </c>
      <c r="S62" s="43" t="s">
        <v>210</v>
      </c>
      <c r="T62" s="47" t="s">
        <v>211</v>
      </c>
      <c r="U62" s="47"/>
    </row>
    <row r="63" spans="8:8" ht="43.2" hidden="1" customHeight="1">
      <c r="A63" s="22"/>
      <c r="B63" s="22"/>
      <c r="C63" s="22">
        <v>40.0</v>
      </c>
      <c r="D63" s="43" t="s">
        <v>39</v>
      </c>
      <c r="E63" s="50" t="s">
        <v>212</v>
      </c>
      <c r="F63" s="49" t="s">
        <v>41</v>
      </c>
      <c r="G63" s="49"/>
      <c r="H63" s="49"/>
      <c r="I63" s="45"/>
      <c r="J63" s="45"/>
      <c r="K63" s="45"/>
      <c r="L63" s="45">
        <f>IF(前置信息!$B$10="精装",L25+60,"")</f>
        <v>45032.0</v>
      </c>
      <c r="M63" s="43" t="s">
        <v>213</v>
      </c>
      <c r="N63" s="43" t="s">
        <v>213</v>
      </c>
      <c r="O63" s="43" t="s">
        <v>213</v>
      </c>
      <c r="P63" s="43" t="s">
        <v>213</v>
      </c>
      <c r="Q63" s="43" t="s">
        <v>213</v>
      </c>
      <c r="R63" s="43" t="s">
        <v>213</v>
      </c>
      <c r="S63" s="43" t="s">
        <v>213</v>
      </c>
      <c r="T63" s="51" t="s">
        <v>214</v>
      </c>
      <c r="U63" s="52" t="s">
        <v>96</v>
      </c>
    </row>
    <row r="64" spans="8:8" ht="60.0" hidden="1">
      <c r="A64" s="22"/>
      <c r="B64" s="22"/>
      <c r="C64" s="22">
        <v>41.0</v>
      </c>
      <c r="D64" s="43" t="s">
        <v>39</v>
      </c>
      <c r="E64" s="50" t="s">
        <v>215</v>
      </c>
      <c r="F64" s="49" t="s">
        <v>46</v>
      </c>
      <c r="G64" s="49"/>
      <c r="H64" s="49"/>
      <c r="I64" s="45"/>
      <c r="J64" s="45"/>
      <c r="K64" s="45"/>
      <c r="L64" s="45">
        <f t="shared" si="0" ref="L64">L46+30</f>
        <v>45032.0</v>
      </c>
      <c r="M64" s="43" t="s">
        <v>216</v>
      </c>
      <c r="N64" s="43" t="s">
        <v>216</v>
      </c>
      <c r="O64" s="43" t="s">
        <v>216</v>
      </c>
      <c r="P64" s="43" t="s">
        <v>216</v>
      </c>
      <c r="Q64" s="43" t="s">
        <v>216</v>
      </c>
      <c r="R64" s="43" t="s">
        <v>216</v>
      </c>
      <c r="S64" s="43" t="s">
        <v>216</v>
      </c>
      <c r="T64" s="62" t="s">
        <v>529</v>
      </c>
      <c r="U64" s="52" t="s">
        <v>217</v>
      </c>
    </row>
    <row r="65" spans="8:8" ht="45.0" hidden="1">
      <c r="A65" s="22"/>
      <c r="B65" s="22"/>
      <c r="C65" s="22">
        <v>42.0</v>
      </c>
      <c r="D65" s="43" t="s">
        <v>39</v>
      </c>
      <c r="E65" s="50" t="s">
        <v>218</v>
      </c>
      <c r="F65" s="49" t="s">
        <v>56</v>
      </c>
      <c r="G65" s="49"/>
      <c r="H65" s="49"/>
      <c r="I65" s="45"/>
      <c r="J65" s="45"/>
      <c r="K65" s="45"/>
      <c r="L65" s="45">
        <f>IF(前置信息!$B$8&lt;=4,L47+25,IF(AND(前置信息!$B$8&gt;11,前置信息!$B$8&lt;27),L47+25,L47+30))</f>
        <v>45027.0</v>
      </c>
      <c r="M65" s="72" t="s">
        <v>489</v>
      </c>
      <c r="N65" s="72" t="s">
        <v>489</v>
      </c>
      <c r="O65" s="43" t="s">
        <v>219</v>
      </c>
      <c r="P65" s="43" t="s">
        <v>219</v>
      </c>
      <c r="Q65" s="43" t="s">
        <v>219</v>
      </c>
      <c r="R65" s="43" t="s">
        <v>219</v>
      </c>
      <c r="S65" s="43" t="s">
        <v>219</v>
      </c>
      <c r="T65" s="51" t="s">
        <v>220</v>
      </c>
      <c r="U65" s="52" t="s">
        <v>169</v>
      </c>
    </row>
    <row r="66" spans="8:8" ht="34.95" hidden="1" customHeight="1">
      <c r="A66" s="22"/>
      <c r="B66" s="22"/>
      <c r="C66" s="22">
        <v>43.0</v>
      </c>
      <c r="D66" s="49" t="s">
        <v>39</v>
      </c>
      <c r="E66" s="50" t="s">
        <v>221</v>
      </c>
      <c r="F66" s="49" t="s">
        <v>36</v>
      </c>
      <c r="G66" s="49"/>
      <c r="H66" s="49"/>
      <c r="I66" s="45"/>
      <c r="J66" s="45"/>
      <c r="K66" s="45"/>
      <c r="L66" s="45">
        <f>L49+30</f>
        <v>45032.0</v>
      </c>
      <c r="M66" s="43" t="s">
        <v>222</v>
      </c>
      <c r="N66" s="43" t="s">
        <v>222</v>
      </c>
      <c r="O66" s="43" t="s">
        <v>222</v>
      </c>
      <c r="P66" s="43" t="s">
        <v>222</v>
      </c>
      <c r="Q66" s="43" t="s">
        <v>222</v>
      </c>
      <c r="R66" s="43" t="s">
        <v>222</v>
      </c>
      <c r="S66" s="43" t="s">
        <v>222</v>
      </c>
      <c r="T66" s="51" t="s">
        <v>223</v>
      </c>
      <c r="U66" s="52" t="s">
        <v>51</v>
      </c>
    </row>
    <row r="67" spans="8:8" ht="34.95" hidden="1" customHeight="1">
      <c r="A67" s="22"/>
      <c r="B67" s="22"/>
      <c r="C67" s="22">
        <v>44.0</v>
      </c>
      <c r="D67" s="43" t="s">
        <v>39</v>
      </c>
      <c r="E67" s="44" t="s">
        <v>224</v>
      </c>
      <c r="F67" s="43" t="s">
        <v>68</v>
      </c>
      <c r="G67" s="43"/>
      <c r="H67" s="43"/>
      <c r="I67" s="45"/>
      <c r="J67" s="45"/>
      <c r="K67" s="45"/>
      <c r="L67" s="45">
        <f>L89-75</f>
        <v>45064.0</v>
      </c>
      <c r="M67" s="43" t="s">
        <v>225</v>
      </c>
      <c r="N67" s="43" t="s">
        <v>225</v>
      </c>
      <c r="O67" s="43" t="s">
        <v>225</v>
      </c>
      <c r="P67" s="43" t="s">
        <v>225</v>
      </c>
      <c r="Q67" s="43" t="s">
        <v>226</v>
      </c>
      <c r="R67" s="43" t="s">
        <v>225</v>
      </c>
      <c r="S67" s="43" t="s">
        <v>225</v>
      </c>
      <c r="T67" s="47" t="s">
        <v>227</v>
      </c>
      <c r="U67" s="48"/>
    </row>
    <row r="68" spans="8:8" ht="34.95" hidden="1" customHeight="1">
      <c r="A68" s="22"/>
      <c r="B68" s="22"/>
      <c r="C68" s="22">
        <v>45.0</v>
      </c>
      <c r="D68" s="43" t="s">
        <v>39</v>
      </c>
      <c r="E68" s="44" t="s">
        <v>228</v>
      </c>
      <c r="F68" s="43" t="s">
        <v>90</v>
      </c>
      <c r="G68" s="43"/>
      <c r="H68" s="43"/>
      <c r="I68" s="45"/>
      <c r="J68" s="45"/>
      <c r="K68" s="45"/>
      <c r="L68" s="45">
        <f>L82-90</f>
        <v>45034.0</v>
      </c>
      <c r="M68" s="43" t="s">
        <v>133</v>
      </c>
      <c r="N68" s="43" t="s">
        <v>133</v>
      </c>
      <c r="O68" s="43" t="s">
        <v>133</v>
      </c>
      <c r="P68" s="43" t="s">
        <v>133</v>
      </c>
      <c r="Q68" s="43" t="s">
        <v>134</v>
      </c>
      <c r="R68" s="43" t="s">
        <v>133</v>
      </c>
      <c r="S68" s="43" t="s">
        <v>133</v>
      </c>
      <c r="T68" s="64" t="s">
        <v>110</v>
      </c>
      <c r="U68" s="48" t="s">
        <v>111</v>
      </c>
    </row>
    <row r="69" spans="8:8" ht="34.95" hidden="1" customHeight="1">
      <c r="A69" s="22"/>
      <c r="B69" s="22"/>
      <c r="C69" s="22">
        <v>46.0</v>
      </c>
      <c r="D69" s="43" t="s">
        <v>39</v>
      </c>
      <c r="E69" s="44" t="s">
        <v>229</v>
      </c>
      <c r="F69" s="43" t="s">
        <v>52</v>
      </c>
      <c r="G69" s="43"/>
      <c r="H69" s="43"/>
      <c r="I69" s="45"/>
      <c r="J69" s="45"/>
      <c r="K69" s="45"/>
      <c r="L69" s="45">
        <f>IF(AND(前置信息!$B$8&gt;11,前置信息!$B$8&lt;27),L82-90,L82-30)</f>
        <v>45034.0</v>
      </c>
      <c r="M69" s="43" t="s">
        <v>230</v>
      </c>
      <c r="N69" s="43" t="s">
        <v>231</v>
      </c>
      <c r="O69" s="43" t="s">
        <v>231</v>
      </c>
      <c r="P69" s="43" t="s">
        <v>231</v>
      </c>
      <c r="Q69" s="43" t="s">
        <v>232</v>
      </c>
      <c r="R69" s="43" t="s">
        <v>231</v>
      </c>
      <c r="S69" s="43" t="s">
        <v>231</v>
      </c>
      <c r="T69" s="47" t="s">
        <v>233</v>
      </c>
      <c r="U69" s="48"/>
    </row>
    <row r="70" spans="8:8" ht="60.0" hidden="1">
      <c r="A70" s="22"/>
      <c r="B70" s="22"/>
      <c r="C70" s="22">
        <v>47.0</v>
      </c>
      <c r="D70" s="43" t="s">
        <v>39</v>
      </c>
      <c r="E70" s="50" t="s">
        <v>234</v>
      </c>
      <c r="F70" s="49" t="s">
        <v>41</v>
      </c>
      <c r="G70" s="49"/>
      <c r="H70" s="49"/>
      <c r="I70" s="45"/>
      <c r="J70" s="45"/>
      <c r="K70" s="45"/>
      <c r="L70" s="45">
        <f>IF(前置信息!$B$10="精装",L41+60,"")</f>
        <v>45062.0</v>
      </c>
      <c r="M70" s="73" t="s">
        <v>235</v>
      </c>
      <c r="N70" s="73" t="s">
        <v>235</v>
      </c>
      <c r="O70" s="73" t="s">
        <v>235</v>
      </c>
      <c r="P70" s="73" t="s">
        <v>235</v>
      </c>
      <c r="Q70" s="73" t="s">
        <v>235</v>
      </c>
      <c r="R70" s="73" t="s">
        <v>235</v>
      </c>
      <c r="S70" s="73" t="s">
        <v>235</v>
      </c>
      <c r="T70" s="62" t="s">
        <v>528</v>
      </c>
      <c r="U70" s="52" t="s">
        <v>236</v>
      </c>
    </row>
    <row r="71" spans="8:8" ht="34.95" hidden="1" customHeight="1">
      <c r="A71" s="22"/>
      <c r="B71" s="22"/>
      <c r="C71" s="22">
        <v>48.0</v>
      </c>
      <c r="D71" s="43" t="s">
        <v>39</v>
      </c>
      <c r="E71" s="50" t="s">
        <v>237</v>
      </c>
      <c r="F71" s="49" t="s">
        <v>41</v>
      </c>
      <c r="G71" s="49"/>
      <c r="H71" s="49"/>
      <c r="I71" s="45"/>
      <c r="J71" s="45"/>
      <c r="K71" s="45"/>
      <c r="L71" s="45">
        <f>IF(前置信息!$B$10="精装",L63+30,"")</f>
        <v>45062.0</v>
      </c>
      <c r="M71" s="43" t="s">
        <v>238</v>
      </c>
      <c r="N71" s="43" t="s">
        <v>238</v>
      </c>
      <c r="O71" s="43" t="s">
        <v>238</v>
      </c>
      <c r="P71" s="43" t="s">
        <v>238</v>
      </c>
      <c r="Q71" s="43" t="s">
        <v>238</v>
      </c>
      <c r="R71" s="43" t="s">
        <v>238</v>
      </c>
      <c r="S71" s="43" t="s">
        <v>238</v>
      </c>
      <c r="T71" s="51" t="s">
        <v>239</v>
      </c>
      <c r="U71" s="52" t="s">
        <v>240</v>
      </c>
    </row>
    <row r="72" spans="8:8" ht="33.45" hidden="1" customHeight="1">
      <c r="A72" s="22"/>
      <c r="B72" s="22"/>
      <c r="C72" s="22">
        <v>49.0</v>
      </c>
      <c r="D72" s="43" t="s">
        <v>39</v>
      </c>
      <c r="E72" s="50" t="s">
        <v>241</v>
      </c>
      <c r="F72" s="49" t="s">
        <v>46</v>
      </c>
      <c r="G72" s="49"/>
      <c r="H72" s="49"/>
      <c r="I72" s="45"/>
      <c r="J72" s="45"/>
      <c r="K72" s="45"/>
      <c r="L72" s="45">
        <f>L64+30</f>
        <v>45062.0</v>
      </c>
      <c r="M72" s="43" t="s">
        <v>242</v>
      </c>
      <c r="N72" s="43" t="s">
        <v>242</v>
      </c>
      <c r="O72" s="43" t="s">
        <v>242</v>
      </c>
      <c r="P72" s="43" t="s">
        <v>242</v>
      </c>
      <c r="Q72" s="43" t="s">
        <v>242</v>
      </c>
      <c r="R72" s="43" t="s">
        <v>242</v>
      </c>
      <c r="S72" s="43" t="s">
        <v>242</v>
      </c>
      <c r="T72" s="51"/>
      <c r="U72" s="52"/>
    </row>
    <row r="73" spans="8:8" ht="28.2" hidden="1" customHeight="1">
      <c r="A73" s="22"/>
      <c r="B73" s="22"/>
      <c r="C73" s="22">
        <v>50.0</v>
      </c>
      <c r="D73" s="85" t="s">
        <v>39</v>
      </c>
      <c r="E73" s="49" t="s">
        <v>243</v>
      </c>
      <c r="F73" s="50" t="s">
        <v>68</v>
      </c>
      <c r="G73" s="50"/>
      <c r="H73" s="50"/>
      <c r="I73" s="45"/>
      <c r="J73" s="45"/>
      <c r="K73" s="45"/>
      <c r="L73" s="45">
        <f>L41+60</f>
        <v>45062.0</v>
      </c>
      <c r="M73" s="73" t="s">
        <v>244</v>
      </c>
      <c r="N73" s="73" t="s">
        <v>244</v>
      </c>
      <c r="O73" s="73" t="s">
        <v>244</v>
      </c>
      <c r="P73" s="73" t="s">
        <v>244</v>
      </c>
      <c r="Q73" s="73" t="s">
        <v>244</v>
      </c>
      <c r="R73" s="73" t="s">
        <v>244</v>
      </c>
      <c r="S73" s="73" t="s">
        <v>244</v>
      </c>
      <c r="T73" s="86" t="s">
        <v>245</v>
      </c>
      <c r="U73" s="51" t="s">
        <v>246</v>
      </c>
    </row>
    <row r="74" spans="8:8" ht="34.95" hidden="1" customHeight="1">
      <c r="A74" s="22"/>
      <c r="B74" s="22"/>
      <c r="C74" s="22">
        <v>51.0</v>
      </c>
      <c r="D74" s="43" t="s">
        <v>39</v>
      </c>
      <c r="E74" s="44" t="s">
        <v>247</v>
      </c>
      <c r="F74" s="43" t="s">
        <v>68</v>
      </c>
      <c r="G74" s="43"/>
      <c r="H74" s="43"/>
      <c r="I74" s="45"/>
      <c r="J74" s="45"/>
      <c r="K74" s="45"/>
      <c r="L74" s="45">
        <f>L53+60</f>
        <v>45064.0</v>
      </c>
      <c r="M74" s="43" t="s">
        <v>248</v>
      </c>
      <c r="N74" s="43" t="s">
        <v>248</v>
      </c>
      <c r="O74" s="43" t="s">
        <v>248</v>
      </c>
      <c r="P74" s="43" t="s">
        <v>248</v>
      </c>
      <c r="Q74" s="43" t="s">
        <v>248</v>
      </c>
      <c r="R74" s="43" t="s">
        <v>248</v>
      </c>
      <c r="S74" s="43" t="s">
        <v>248</v>
      </c>
      <c r="T74" s="47" t="s">
        <v>249</v>
      </c>
      <c r="U74" s="48"/>
    </row>
    <row r="75" spans="8:8" ht="34.95" hidden="1" customHeight="1">
      <c r="A75" s="22"/>
      <c r="B75" s="22">
        <v>17.0</v>
      </c>
      <c r="C75" s="22"/>
      <c r="D75" s="29" t="s">
        <v>15</v>
      </c>
      <c r="E75" s="29" t="s">
        <v>250</v>
      </c>
      <c r="F75" s="39" t="s">
        <v>68</v>
      </c>
      <c r="G75" s="39"/>
      <c r="H75" s="39"/>
      <c r="I75" s="68"/>
      <c r="J75" s="68"/>
      <c r="K75" s="68"/>
      <c r="L75" s="68">
        <f>L53+60</f>
        <v>45064.0</v>
      </c>
      <c r="M75" s="69" t="s">
        <v>248</v>
      </c>
      <c r="N75" s="69" t="s">
        <v>248</v>
      </c>
      <c r="O75" s="69" t="s">
        <v>248</v>
      </c>
      <c r="P75" s="69" t="s">
        <v>248</v>
      </c>
      <c r="Q75" s="69" t="s">
        <v>248</v>
      </c>
      <c r="R75" s="69" t="s">
        <v>248</v>
      </c>
      <c r="S75" s="69" t="s">
        <v>248</v>
      </c>
      <c r="T75" s="70" t="s">
        <v>251</v>
      </c>
      <c r="U75" s="71"/>
    </row>
    <row r="76" spans="8:8" ht="60.0">
      <c r="A76" s="22">
        <v>4.0</v>
      </c>
      <c r="B76" s="22"/>
      <c r="C76" s="22"/>
      <c r="D76" s="53" t="s">
        <v>62</v>
      </c>
      <c r="E76" s="53" t="s">
        <v>252</v>
      </c>
      <c r="F76" s="53" t="s">
        <v>90</v>
      </c>
      <c r="G76" s="53"/>
      <c r="H76" s="53"/>
      <c r="I76" s="54"/>
      <c r="J76" s="54"/>
      <c r="K76" s="54"/>
      <c r="L76" s="54">
        <f>L55+60</f>
        <v>45065.0</v>
      </c>
      <c r="M76" s="66" t="s">
        <v>253</v>
      </c>
      <c r="N76" s="66" t="s">
        <v>253</v>
      </c>
      <c r="O76" s="66" t="s">
        <v>253</v>
      </c>
      <c r="P76" s="66" t="s">
        <v>253</v>
      </c>
      <c r="Q76" s="66" t="s">
        <v>253</v>
      </c>
      <c r="R76" s="66" t="s">
        <v>253</v>
      </c>
      <c r="S76" s="66" t="s">
        <v>253</v>
      </c>
      <c r="T76" s="87" t="s">
        <v>254</v>
      </c>
      <c r="U76" s="56" t="s">
        <v>151</v>
      </c>
    </row>
    <row r="77" spans="8:8" s="88" ht="21.0" hidden="1" customFormat="1" customHeight="1">
      <c r="A77" s="22"/>
      <c r="B77" s="22"/>
      <c r="C77" s="22"/>
      <c r="D77" s="79" t="s">
        <v>468</v>
      </c>
      <c r="E77" s="79" t="s">
        <v>473</v>
      </c>
      <c r="F77" s="79" t="s">
        <v>474</v>
      </c>
      <c r="G77" s="79"/>
      <c r="H77" s="79"/>
      <c r="I77" s="89"/>
      <c r="J77" s="89"/>
      <c r="K77" s="89"/>
      <c r="L77" s="89">
        <f>L41+150</f>
        <v>45152.0</v>
      </c>
      <c r="M77" s="90" t="s">
        <v>522</v>
      </c>
      <c r="N77" s="90"/>
      <c r="O77" s="90"/>
      <c r="P77" s="90"/>
      <c r="Q77" s="90"/>
      <c r="R77" s="90"/>
      <c r="S77" s="90"/>
      <c r="T77" s="91"/>
      <c r="U77" s="92"/>
    </row>
    <row r="78" spans="8:8" ht="34.95" hidden="1" customHeight="1">
      <c r="A78" s="22"/>
      <c r="B78" s="22"/>
      <c r="C78" s="22">
        <v>52.0</v>
      </c>
      <c r="D78" s="43" t="s">
        <v>39</v>
      </c>
      <c r="E78" s="44" t="s">
        <v>255</v>
      </c>
      <c r="F78" s="43" t="s">
        <v>68</v>
      </c>
      <c r="G78" s="43"/>
      <c r="H78" s="43"/>
      <c r="I78" s="45"/>
      <c r="J78" s="45"/>
      <c r="K78" s="45"/>
      <c r="L78" s="45">
        <f>IF(前置信息!$B$8&lt;=4,L89-50,IF(AND(前置信息!$B$8&gt;11,前置信息!$B$8&lt;27),L89-50,L89-60))</f>
        <v>45089.0</v>
      </c>
      <c r="M78" s="43" t="s">
        <v>256</v>
      </c>
      <c r="N78" s="43" t="s">
        <v>256</v>
      </c>
      <c r="O78" s="43" t="s">
        <v>257</v>
      </c>
      <c r="P78" s="43" t="s">
        <v>257</v>
      </c>
      <c r="Q78" s="43" t="s">
        <v>257</v>
      </c>
      <c r="R78" s="43" t="s">
        <v>257</v>
      </c>
      <c r="S78" s="43" t="s">
        <v>257</v>
      </c>
      <c r="T78" s="47" t="s">
        <v>258</v>
      </c>
      <c r="U78" s="48"/>
    </row>
    <row r="79" spans="8:8" ht="31.95" hidden="1" customHeight="1">
      <c r="A79" s="22"/>
      <c r="B79" s="22"/>
      <c r="C79" s="22">
        <v>53.0</v>
      </c>
      <c r="D79" s="43" t="s">
        <v>39</v>
      </c>
      <c r="E79" s="44" t="s">
        <v>259</v>
      </c>
      <c r="F79" s="43" t="s">
        <v>52</v>
      </c>
      <c r="G79" s="43"/>
      <c r="H79" s="43"/>
      <c r="I79" s="45"/>
      <c r="J79" s="45"/>
      <c r="K79" s="45"/>
      <c r="L79" s="45">
        <f>L93-60</f>
        <v>45094.0</v>
      </c>
      <c r="M79" s="43" t="s">
        <v>260</v>
      </c>
      <c r="N79" s="43" t="s">
        <v>260</v>
      </c>
      <c r="O79" s="43" t="s">
        <v>260</v>
      </c>
      <c r="P79" s="43" t="s">
        <v>260</v>
      </c>
      <c r="Q79" s="43" t="s">
        <v>260</v>
      </c>
      <c r="R79" s="43" t="s">
        <v>260</v>
      </c>
      <c r="S79" s="43" t="s">
        <v>260</v>
      </c>
      <c r="T79" s="47" t="s">
        <v>211</v>
      </c>
      <c r="U79" s="47"/>
    </row>
    <row r="80" spans="8:8" s="57" ht="34.95" hidden="1" customFormat="1" customHeight="1">
      <c r="A80" s="58"/>
      <c r="B80" s="58"/>
      <c r="C80" s="22">
        <v>54.0</v>
      </c>
      <c r="D80" s="43" t="s">
        <v>39</v>
      </c>
      <c r="E80" s="59" t="s">
        <v>261</v>
      </c>
      <c r="F80" s="43" t="s">
        <v>41</v>
      </c>
      <c r="G80" s="43"/>
      <c r="H80" s="43"/>
      <c r="I80" s="45"/>
      <c r="J80" s="45"/>
      <c r="K80" s="45"/>
      <c r="L80" s="45">
        <f>L82-15</f>
        <v>45109.0</v>
      </c>
      <c r="M80" s="43" t="s">
        <v>262</v>
      </c>
      <c r="N80" s="43" t="s">
        <v>262</v>
      </c>
      <c r="O80" s="43" t="s">
        <v>262</v>
      </c>
      <c r="P80" s="43" t="s">
        <v>262</v>
      </c>
      <c r="Q80" s="43" t="s">
        <v>262</v>
      </c>
      <c r="R80" s="43" t="s">
        <v>262</v>
      </c>
      <c r="S80" s="43" t="s">
        <v>262</v>
      </c>
      <c r="T80" s="60" t="s">
        <v>258</v>
      </c>
      <c r="U80" s="61"/>
    </row>
    <row r="81" spans="8:8" ht="34.95" hidden="1" customHeight="1">
      <c r="A81" s="22"/>
      <c r="B81" s="22"/>
      <c r="C81" s="22">
        <v>55.0</v>
      </c>
      <c r="D81" s="43" t="s">
        <v>39</v>
      </c>
      <c r="E81" s="44" t="s">
        <v>263</v>
      </c>
      <c r="F81" s="43" t="s">
        <v>46</v>
      </c>
      <c r="G81" s="43"/>
      <c r="H81" s="43"/>
      <c r="I81" s="45"/>
      <c r="J81" s="45"/>
      <c r="K81" s="45"/>
      <c r="L81" s="45">
        <f>L82-10</f>
        <v>45114.0</v>
      </c>
      <c r="M81" s="43" t="s">
        <v>264</v>
      </c>
      <c r="N81" s="43" t="s">
        <v>264</v>
      </c>
      <c r="O81" s="43" t="s">
        <v>264</v>
      </c>
      <c r="P81" s="43" t="s">
        <v>264</v>
      </c>
      <c r="Q81" s="43" t="s">
        <v>264</v>
      </c>
      <c r="R81" s="43" t="s">
        <v>264</v>
      </c>
      <c r="S81" s="43" t="s">
        <v>264</v>
      </c>
      <c r="T81" s="47" t="s">
        <v>258</v>
      </c>
      <c r="U81" s="48"/>
    </row>
    <row r="82" spans="8:8" ht="34.95" customHeight="1">
      <c r="A82" s="22">
        <v>5.0</v>
      </c>
      <c r="B82" s="22"/>
      <c r="C82" s="22"/>
      <c r="D82" s="53" t="s">
        <v>62</v>
      </c>
      <c r="E82" s="53" t="s">
        <v>265</v>
      </c>
      <c r="F82" s="53" t="s">
        <v>266</v>
      </c>
      <c r="G82" s="53"/>
      <c r="H82" s="53"/>
      <c r="I82" s="54"/>
      <c r="J82" s="54"/>
      <c r="K82" s="54"/>
      <c r="L82" s="54">
        <f>L93-30</f>
        <v>45124.0</v>
      </c>
      <c r="M82" s="66" t="s">
        <v>195</v>
      </c>
      <c r="N82" s="66" t="s">
        <v>195</v>
      </c>
      <c r="O82" s="66" t="s">
        <v>195</v>
      </c>
      <c r="P82" s="66" t="s">
        <v>195</v>
      </c>
      <c r="Q82" s="66" t="s">
        <v>195</v>
      </c>
      <c r="R82" s="66" t="s">
        <v>195</v>
      </c>
      <c r="S82" s="66" t="s">
        <v>195</v>
      </c>
      <c r="T82" s="55" t="s">
        <v>267</v>
      </c>
      <c r="U82" s="53"/>
    </row>
    <row r="83" spans="8:8" ht="38.7" hidden="1" customHeight="1">
      <c r="A83" s="22"/>
      <c r="B83" s="22"/>
      <c r="C83" s="22">
        <v>56.0</v>
      </c>
      <c r="D83" s="43" t="s">
        <v>39</v>
      </c>
      <c r="E83" s="44" t="s">
        <v>268</v>
      </c>
      <c r="F83" s="43" t="s">
        <v>52</v>
      </c>
      <c r="G83" s="43"/>
      <c r="H83" s="43"/>
      <c r="I83" s="45"/>
      <c r="J83" s="45"/>
      <c r="K83" s="45"/>
      <c r="L83" s="45">
        <f>L93-30</f>
        <v>45124.0</v>
      </c>
      <c r="M83" s="43" t="s">
        <v>269</v>
      </c>
      <c r="N83" s="43" t="s">
        <v>269</v>
      </c>
      <c r="O83" s="43" t="s">
        <v>269</v>
      </c>
      <c r="P83" s="43" t="s">
        <v>269</v>
      </c>
      <c r="Q83" s="43" t="s">
        <v>269</v>
      </c>
      <c r="R83" s="43" t="s">
        <v>269</v>
      </c>
      <c r="S83" s="43" t="s">
        <v>269</v>
      </c>
      <c r="T83" s="47" t="s">
        <v>270</v>
      </c>
      <c r="U83" s="47" t="s">
        <v>271</v>
      </c>
    </row>
    <row r="84" spans="8:8" ht="34.95" hidden="1" customHeight="1">
      <c r="A84" s="22"/>
      <c r="B84" s="22">
        <v>18.0</v>
      </c>
      <c r="C84" s="22"/>
      <c r="D84" s="29" t="s">
        <v>15</v>
      </c>
      <c r="E84" s="29" t="s">
        <v>272</v>
      </c>
      <c r="F84" s="39" t="s">
        <v>273</v>
      </c>
      <c r="G84" s="39"/>
      <c r="H84" s="39"/>
      <c r="I84" s="68"/>
      <c r="J84" s="68"/>
      <c r="K84" s="68"/>
      <c r="L84" s="68">
        <f>L93-30</f>
        <v>45124.0</v>
      </c>
      <c r="M84" s="69" t="s">
        <v>195</v>
      </c>
      <c r="N84" s="69" t="s">
        <v>195</v>
      </c>
      <c r="O84" s="69" t="s">
        <v>195</v>
      </c>
      <c r="P84" s="69" t="s">
        <v>195</v>
      </c>
      <c r="Q84" s="69" t="s">
        <v>195</v>
      </c>
      <c r="R84" s="69" t="s">
        <v>195</v>
      </c>
      <c r="S84" s="69" t="s">
        <v>195</v>
      </c>
      <c r="T84" s="70" t="s">
        <v>274</v>
      </c>
      <c r="U84" s="71" t="s">
        <v>275</v>
      </c>
    </row>
    <row r="85" spans="8:8" ht="34.95" hidden="1" customHeight="1">
      <c r="A85" s="22"/>
      <c r="B85" s="22">
        <v>19.0</v>
      </c>
      <c r="C85" s="22"/>
      <c r="D85" s="29" t="s">
        <v>15</v>
      </c>
      <c r="E85" s="29" t="s">
        <v>276</v>
      </c>
      <c r="F85" s="39" t="s">
        <v>52</v>
      </c>
      <c r="G85" s="39"/>
      <c r="H85" s="39"/>
      <c r="I85" s="68"/>
      <c r="J85" s="68"/>
      <c r="K85" s="68"/>
      <c r="L85" s="68">
        <f>L93-30</f>
        <v>45124.0</v>
      </c>
      <c r="M85" s="69" t="s">
        <v>195</v>
      </c>
      <c r="N85" s="69" t="s">
        <v>195</v>
      </c>
      <c r="O85" s="69" t="s">
        <v>195</v>
      </c>
      <c r="P85" s="69" t="s">
        <v>195</v>
      </c>
      <c r="Q85" s="69" t="s">
        <v>195</v>
      </c>
      <c r="R85" s="69" t="s">
        <v>195</v>
      </c>
      <c r="S85" s="69" t="s">
        <v>195</v>
      </c>
      <c r="T85" s="70" t="s">
        <v>277</v>
      </c>
      <c r="U85" s="71" t="s">
        <v>197</v>
      </c>
    </row>
    <row r="86" spans="8:8" ht="34.95" hidden="1" customHeight="1">
      <c r="A86" s="22"/>
      <c r="B86" s="22"/>
      <c r="C86" s="22">
        <v>57.0</v>
      </c>
      <c r="D86" s="43" t="s">
        <v>39</v>
      </c>
      <c r="E86" s="44" t="s">
        <v>278</v>
      </c>
      <c r="F86" s="43" t="s">
        <v>273</v>
      </c>
      <c r="G86" s="43"/>
      <c r="H86" s="43"/>
      <c r="I86" s="45"/>
      <c r="J86" s="45"/>
      <c r="K86" s="45"/>
      <c r="L86" s="45">
        <f>L93-30</f>
        <v>45124.0</v>
      </c>
      <c r="M86" s="43" t="s">
        <v>232</v>
      </c>
      <c r="N86" s="43" t="s">
        <v>232</v>
      </c>
      <c r="O86" s="43" t="s">
        <v>232</v>
      </c>
      <c r="P86" s="43" t="s">
        <v>232</v>
      </c>
      <c r="Q86" s="43" t="s">
        <v>232</v>
      </c>
      <c r="R86" s="43" t="s">
        <v>232</v>
      </c>
      <c r="S86" s="43" t="s">
        <v>232</v>
      </c>
      <c r="T86" s="47" t="s">
        <v>279</v>
      </c>
      <c r="U86" s="48"/>
    </row>
    <row r="87" spans="8:8" s="57" ht="34.95" hidden="1" customFormat="1" customHeight="1">
      <c r="A87" s="58"/>
      <c r="B87" s="58"/>
      <c r="C87" s="22">
        <v>58.0</v>
      </c>
      <c r="D87" s="43" t="s">
        <v>39</v>
      </c>
      <c r="E87" s="59" t="s">
        <v>280</v>
      </c>
      <c r="F87" s="43" t="s">
        <v>41</v>
      </c>
      <c r="G87" s="43"/>
      <c r="H87" s="43"/>
      <c r="I87" s="45"/>
      <c r="J87" s="45"/>
      <c r="K87" s="45"/>
      <c r="L87" s="45">
        <f>L89-10</f>
        <v>45129.0</v>
      </c>
      <c r="M87" s="43" t="s">
        <v>264</v>
      </c>
      <c r="N87" s="43" t="s">
        <v>264</v>
      </c>
      <c r="O87" s="43" t="s">
        <v>264</v>
      </c>
      <c r="P87" s="43" t="s">
        <v>264</v>
      </c>
      <c r="Q87" s="43" t="s">
        <v>264</v>
      </c>
      <c r="R87" s="43" t="s">
        <v>264</v>
      </c>
      <c r="S87" s="43" t="s">
        <v>264</v>
      </c>
      <c r="T87" s="60" t="s">
        <v>258</v>
      </c>
      <c r="U87" s="61"/>
    </row>
    <row r="88" spans="8:8" s="57" ht="34.95" hidden="1" customFormat="1" customHeight="1">
      <c r="A88" s="58"/>
      <c r="B88" s="58"/>
      <c r="C88" s="22">
        <v>59.0</v>
      </c>
      <c r="D88" s="43" t="s">
        <v>39</v>
      </c>
      <c r="E88" s="59" t="s">
        <v>281</v>
      </c>
      <c r="F88" s="43" t="s">
        <v>64</v>
      </c>
      <c r="G88" s="43"/>
      <c r="H88" s="43"/>
      <c r="I88" s="45"/>
      <c r="J88" s="45"/>
      <c r="K88" s="45"/>
      <c r="L88" s="45">
        <f>IF(前置信息!$B$8&lt;=4,L93-25,IF(AND(前置信息!$B$8&gt;11,前置信息!$B$8&lt;27),L93-25,L93-40))</f>
        <v>45129.0</v>
      </c>
      <c r="M88" s="43" t="s">
        <v>282</v>
      </c>
      <c r="N88" s="43" t="s">
        <v>282</v>
      </c>
      <c r="O88" s="43" t="s">
        <v>283</v>
      </c>
      <c r="P88" s="43" t="s">
        <v>283</v>
      </c>
      <c r="Q88" s="43" t="s">
        <v>283</v>
      </c>
      <c r="R88" s="43" t="s">
        <v>283</v>
      </c>
      <c r="S88" s="43" t="s">
        <v>283</v>
      </c>
      <c r="T88" s="60" t="s">
        <v>284</v>
      </c>
      <c r="U88" s="61" t="s">
        <v>285</v>
      </c>
    </row>
    <row r="89" spans="8:8" ht="34.95" customHeight="1">
      <c r="A89" s="22">
        <v>6.0</v>
      </c>
      <c r="B89" s="22"/>
      <c r="C89" s="22"/>
      <c r="D89" s="53" t="s">
        <v>62</v>
      </c>
      <c r="E89" s="93" t="s">
        <v>286</v>
      </c>
      <c r="F89" s="66" t="s">
        <v>266</v>
      </c>
      <c r="G89" s="66"/>
      <c r="H89" s="66"/>
      <c r="I89" s="54"/>
      <c r="J89" s="54"/>
      <c r="K89" s="54"/>
      <c r="L89" s="54">
        <f>IF(前置信息!$B$8&lt;=4,L93-15,IF(AND(前置信息!$B$8&gt;11,前置信息!$B$8&lt;27),L93-15,L93-30))</f>
        <v>45139.0</v>
      </c>
      <c r="M89" s="66" t="s">
        <v>287</v>
      </c>
      <c r="N89" s="66" t="s">
        <v>287</v>
      </c>
      <c r="O89" s="66" t="s">
        <v>195</v>
      </c>
      <c r="P89" s="66" t="s">
        <v>195</v>
      </c>
      <c r="Q89" s="66" t="s">
        <v>195</v>
      </c>
      <c r="R89" s="66" t="s">
        <v>195</v>
      </c>
      <c r="S89" s="66" t="s">
        <v>195</v>
      </c>
      <c r="T89" s="94" t="s">
        <v>288</v>
      </c>
      <c r="U89" s="95"/>
    </row>
    <row r="90" spans="8:8" ht="34.95" hidden="1" customHeight="1">
      <c r="A90" s="22"/>
      <c r="B90" s="22">
        <v>20.0</v>
      </c>
      <c r="C90" s="22"/>
      <c r="D90" s="29" t="s">
        <v>15</v>
      </c>
      <c r="E90" s="29" t="s">
        <v>289</v>
      </c>
      <c r="F90" s="39" t="s">
        <v>68</v>
      </c>
      <c r="G90" s="39"/>
      <c r="H90" s="39"/>
      <c r="I90" s="68"/>
      <c r="J90" s="68"/>
      <c r="K90" s="68"/>
      <c r="L90" s="68">
        <f>L6+225</f>
        <v>45139.0</v>
      </c>
      <c r="M90" s="69" t="s">
        <v>290</v>
      </c>
      <c r="N90" s="69" t="s">
        <v>290</v>
      </c>
      <c r="O90" s="69" t="s">
        <v>290</v>
      </c>
      <c r="P90" s="69" t="s">
        <v>290</v>
      </c>
      <c r="Q90" s="69" t="s">
        <v>290</v>
      </c>
      <c r="R90" s="69" t="s">
        <v>290</v>
      </c>
      <c r="S90" s="69" t="s">
        <v>290</v>
      </c>
      <c r="T90" s="70" t="s">
        <v>291</v>
      </c>
      <c r="U90" s="71"/>
    </row>
    <row r="91" spans="8:8" ht="34.95" customHeight="1">
      <c r="A91" s="22">
        <v>7.0</v>
      </c>
      <c r="B91" s="22"/>
      <c r="C91" s="22"/>
      <c r="D91" s="53" t="s">
        <v>62</v>
      </c>
      <c r="E91" s="53" t="s">
        <v>292</v>
      </c>
      <c r="F91" s="53" t="s">
        <v>20</v>
      </c>
      <c r="G91" s="53"/>
      <c r="H91" s="53"/>
      <c r="I91" s="54"/>
      <c r="J91" s="54"/>
      <c r="K91" s="54"/>
      <c r="L91" s="54">
        <f>L93-10</f>
        <v>45144.0</v>
      </c>
      <c r="M91" s="66" t="s">
        <v>293</v>
      </c>
      <c r="N91" s="66" t="s">
        <v>293</v>
      </c>
      <c r="O91" s="66" t="s">
        <v>293</v>
      </c>
      <c r="P91" s="66" t="s">
        <v>293</v>
      </c>
      <c r="Q91" s="66" t="s">
        <v>293</v>
      </c>
      <c r="R91" s="66" t="s">
        <v>293</v>
      </c>
      <c r="S91" s="66" t="s">
        <v>293</v>
      </c>
      <c r="T91" s="55" t="s">
        <v>294</v>
      </c>
      <c r="U91" s="56" t="s">
        <v>130</v>
      </c>
    </row>
    <row r="92" spans="8:8" ht="34.95" hidden="1" customHeight="1">
      <c r="A92" s="22"/>
      <c r="B92" s="22">
        <v>21.0</v>
      </c>
      <c r="C92" s="82"/>
      <c r="D92" s="29" t="s">
        <v>15</v>
      </c>
      <c r="E92" s="29" t="s">
        <v>295</v>
      </c>
      <c r="F92" s="39" t="s">
        <v>52</v>
      </c>
      <c r="G92" s="39"/>
      <c r="H92" s="39"/>
      <c r="I92" s="68"/>
      <c r="J92" s="68"/>
      <c r="K92" s="68"/>
      <c r="L92" s="68">
        <f>L93-7</f>
        <v>45147.0</v>
      </c>
      <c r="M92" s="69" t="s">
        <v>296</v>
      </c>
      <c r="N92" s="69" t="s">
        <v>296</v>
      </c>
      <c r="O92" s="69" t="s">
        <v>296</v>
      </c>
      <c r="P92" s="69" t="s">
        <v>296</v>
      </c>
      <c r="Q92" s="69" t="s">
        <v>296</v>
      </c>
      <c r="R92" s="69" t="s">
        <v>296</v>
      </c>
      <c r="S92" s="69" t="s">
        <v>296</v>
      </c>
      <c r="T92" s="70" t="s">
        <v>211</v>
      </c>
      <c r="U92" s="71"/>
    </row>
    <row r="93" spans="8:8" ht="34.95" customHeight="1">
      <c r="A93" s="22">
        <v>8.0</v>
      </c>
      <c r="B93" s="22"/>
      <c r="C93" s="22"/>
      <c r="D93" s="53" t="s">
        <v>62</v>
      </c>
      <c r="E93" s="53" t="s">
        <v>297</v>
      </c>
      <c r="F93" s="53" t="s">
        <v>52</v>
      </c>
      <c r="G93" s="53"/>
      <c r="H93" s="53"/>
      <c r="I93" s="54"/>
      <c r="J93" s="54"/>
      <c r="K93" s="54"/>
      <c r="L93" s="54">
        <f>L6+240</f>
        <v>45154.0</v>
      </c>
      <c r="M93" s="66" t="s">
        <v>298</v>
      </c>
      <c r="N93" s="66" t="s">
        <v>298</v>
      </c>
      <c r="O93" s="66" t="s">
        <v>298</v>
      </c>
      <c r="P93" s="66" t="s">
        <v>298</v>
      </c>
      <c r="Q93" s="66" t="s">
        <v>298</v>
      </c>
      <c r="R93" s="66" t="s">
        <v>298</v>
      </c>
      <c r="S93" s="66" t="s">
        <v>298</v>
      </c>
      <c r="T93" s="55" t="s">
        <v>299</v>
      </c>
      <c r="U93" s="53"/>
    </row>
    <row r="94" spans="8:8" ht="28.2" hidden="1" customHeight="1">
      <c r="A94" s="22"/>
      <c r="B94" s="22"/>
      <c r="C94" s="22">
        <v>60.0</v>
      </c>
      <c r="D94" s="85" t="s">
        <v>39</v>
      </c>
      <c r="E94" s="49" t="s">
        <v>300</v>
      </c>
      <c r="F94" s="50" t="s">
        <v>68</v>
      </c>
      <c r="G94" s="50"/>
      <c r="H94" s="50"/>
      <c r="I94" s="45"/>
      <c r="J94" s="45"/>
      <c r="K94" s="45"/>
      <c r="L94" s="45">
        <f>L73+90</f>
        <v>45152.0</v>
      </c>
      <c r="M94" s="43" t="s">
        <v>301</v>
      </c>
      <c r="N94" s="43" t="s">
        <v>301</v>
      </c>
      <c r="O94" s="43" t="s">
        <v>301</v>
      </c>
      <c r="P94" s="43" t="s">
        <v>301</v>
      </c>
      <c r="Q94" s="43" t="s">
        <v>301</v>
      </c>
      <c r="R94" s="43" t="s">
        <v>301</v>
      </c>
      <c r="S94" s="43" t="s">
        <v>301</v>
      </c>
      <c r="T94" s="86" t="s">
        <v>302</v>
      </c>
      <c r="U94" s="51" t="s">
        <v>246</v>
      </c>
    </row>
    <row r="95" spans="8:8" ht="33.45" hidden="1" customHeight="1">
      <c r="A95" s="22"/>
      <c r="B95" s="22">
        <v>22.0</v>
      </c>
      <c r="C95" s="22"/>
      <c r="D95" s="29" t="s">
        <v>15</v>
      </c>
      <c r="E95" s="29" t="s">
        <v>303</v>
      </c>
      <c r="F95" s="29" t="s">
        <v>68</v>
      </c>
      <c r="G95" s="29"/>
      <c r="H95" s="29"/>
      <c r="I95" s="37"/>
      <c r="J95" s="37"/>
      <c r="K95" s="37"/>
      <c r="L95" s="37">
        <f>IF(前置信息!$B$9="有",'节点计划 (终稿)'!L90+10+12+(前置信息!$B$8-2)*5,'节点计划 (终稿)'!L100-60)</f>
        <v>45366.0</v>
      </c>
      <c r="M95" s="96" t="s">
        <v>488</v>
      </c>
      <c r="N95" s="31" t="s">
        <v>304</v>
      </c>
      <c r="O95" s="31" t="s">
        <v>304</v>
      </c>
      <c r="P95" s="31" t="s">
        <v>305</v>
      </c>
      <c r="Q95" s="31" t="s">
        <v>306</v>
      </c>
      <c r="R95" s="31" t="s">
        <v>307</v>
      </c>
      <c r="S95" s="31" t="s">
        <v>308</v>
      </c>
      <c r="T95" s="38" t="s">
        <v>309</v>
      </c>
      <c r="U95" s="33"/>
    </row>
    <row r="96" spans="8:8" ht="34.95" hidden="1" customHeight="1">
      <c r="A96" s="22"/>
      <c r="B96" s="22"/>
      <c r="C96" s="22">
        <v>61.0</v>
      </c>
      <c r="D96" s="43" t="s">
        <v>39</v>
      </c>
      <c r="E96" s="44" t="s">
        <v>310</v>
      </c>
      <c r="F96" s="43" t="s">
        <v>64</v>
      </c>
      <c r="G96" s="43"/>
      <c r="H96" s="43"/>
      <c r="I96" s="45"/>
      <c r="J96" s="45"/>
      <c r="K96" s="45"/>
      <c r="L96" s="45">
        <f>L93+30</f>
        <v>45184.0</v>
      </c>
      <c r="M96" s="46" t="s">
        <v>311</v>
      </c>
      <c r="N96" s="46" t="s">
        <v>311</v>
      </c>
      <c r="O96" s="46" t="s">
        <v>311</v>
      </c>
      <c r="P96" s="46" t="s">
        <v>311</v>
      </c>
      <c r="Q96" s="46" t="s">
        <v>311</v>
      </c>
      <c r="R96" s="46" t="s">
        <v>311</v>
      </c>
      <c r="S96" s="46" t="s">
        <v>311</v>
      </c>
      <c r="T96" s="47" t="s">
        <v>312</v>
      </c>
      <c r="U96" s="48"/>
    </row>
    <row r="97" spans="8:8" ht="28.2" hidden="1" customHeight="1">
      <c r="A97" s="22"/>
      <c r="B97" s="22"/>
      <c r="C97" s="22">
        <v>62.0</v>
      </c>
      <c r="D97" s="85" t="s">
        <v>39</v>
      </c>
      <c r="E97" s="50" t="s">
        <v>313</v>
      </c>
      <c r="F97" s="50" t="s">
        <v>68</v>
      </c>
      <c r="G97" s="50"/>
      <c r="H97" s="50"/>
      <c r="I97" s="45"/>
      <c r="J97" s="45"/>
      <c r="K97" s="45"/>
      <c r="L97" s="45">
        <f>L94+90</f>
        <v>45242.0</v>
      </c>
      <c r="M97" s="43" t="s">
        <v>314</v>
      </c>
      <c r="N97" s="43" t="s">
        <v>314</v>
      </c>
      <c r="O97" s="43" t="s">
        <v>314</v>
      </c>
      <c r="P97" s="43" t="s">
        <v>314</v>
      </c>
      <c r="Q97" s="43" t="s">
        <v>314</v>
      </c>
      <c r="R97" s="43" t="s">
        <v>314</v>
      </c>
      <c r="S97" s="43" t="s">
        <v>314</v>
      </c>
      <c r="T97" s="86" t="s">
        <v>245</v>
      </c>
      <c r="U97" s="51" t="s">
        <v>246</v>
      </c>
    </row>
    <row r="98" spans="8:8" ht="34.95" customHeight="1">
      <c r="A98" s="22">
        <v>9.0</v>
      </c>
      <c r="B98" s="22"/>
      <c r="C98" s="22"/>
      <c r="D98" s="53" t="s">
        <v>62</v>
      </c>
      <c r="E98" s="53" t="s">
        <v>315</v>
      </c>
      <c r="F98" s="53" t="s">
        <v>68</v>
      </c>
      <c r="G98" s="53"/>
      <c r="H98" s="53"/>
      <c r="I98" s="54"/>
      <c r="J98" s="54"/>
      <c r="K98" s="54"/>
      <c r="L98" s="54">
        <f>L6+420</f>
        <v>45334.0</v>
      </c>
      <c r="M98" s="66" t="s">
        <v>316</v>
      </c>
      <c r="N98" s="66" t="s">
        <v>316</v>
      </c>
      <c r="O98" s="66" t="s">
        <v>316</v>
      </c>
      <c r="P98" s="66" t="s">
        <v>316</v>
      </c>
      <c r="Q98" s="66" t="s">
        <v>316</v>
      </c>
      <c r="R98" s="66" t="s">
        <v>316</v>
      </c>
      <c r="S98" s="66" t="s">
        <v>316</v>
      </c>
      <c r="T98" s="55" t="s">
        <v>317</v>
      </c>
      <c r="U98" s="53"/>
    </row>
    <row r="99" spans="8:8" ht="33.45" hidden="1" customHeight="1">
      <c r="A99" s="22"/>
      <c r="B99" s="22">
        <v>23.0</v>
      </c>
      <c r="C99" s="22"/>
      <c r="D99" s="29" t="s">
        <v>15</v>
      </c>
      <c r="E99" s="29" t="s">
        <v>318</v>
      </c>
      <c r="F99" s="29" t="s">
        <v>68</v>
      </c>
      <c r="G99" s="29"/>
      <c r="H99" s="29"/>
      <c r="I99" s="40"/>
      <c r="J99" s="40"/>
      <c r="K99" s="40"/>
      <c r="L99" s="40">
        <f>L98+10+(前置信息!$B$8/2-1)*5</f>
        <v>45379.0</v>
      </c>
      <c r="M99" s="69" t="s">
        <v>319</v>
      </c>
      <c r="N99" s="69" t="s">
        <v>320</v>
      </c>
      <c r="O99" s="69" t="s">
        <v>321</v>
      </c>
      <c r="P99" s="69" t="s">
        <v>321</v>
      </c>
      <c r="Q99" s="69" t="s">
        <v>319</v>
      </c>
      <c r="R99" s="69" t="s">
        <v>319</v>
      </c>
      <c r="S99" s="69" t="s">
        <v>319</v>
      </c>
      <c r="T99" s="70" t="s">
        <v>322</v>
      </c>
      <c r="U99" s="71"/>
    </row>
    <row r="100" spans="8:8" ht="31.2" customHeight="1">
      <c r="A100" s="22">
        <v>10.0</v>
      </c>
      <c r="B100" s="22"/>
      <c r="C100" s="22"/>
      <c r="D100" s="53" t="s">
        <v>62</v>
      </c>
      <c r="E100" s="53" t="s">
        <v>323</v>
      </c>
      <c r="F100" s="53" t="s">
        <v>68</v>
      </c>
      <c r="G100" s="53"/>
      <c r="H100" s="53"/>
      <c r="I100" s="54"/>
      <c r="J100" s="54"/>
      <c r="K100" s="54"/>
      <c r="L100" s="54">
        <f>L98+10+12+(前置信息!$B$8-2)*5</f>
        <v>45426.0</v>
      </c>
      <c r="M100" s="66" t="s">
        <v>324</v>
      </c>
      <c r="N100" s="66" t="s">
        <v>325</v>
      </c>
      <c r="O100" s="66" t="s">
        <v>326</v>
      </c>
      <c r="P100" s="66" t="s">
        <v>326</v>
      </c>
      <c r="Q100" s="66" t="s">
        <v>327</v>
      </c>
      <c r="R100" s="66" t="s">
        <v>328</v>
      </c>
      <c r="S100" s="66" t="s">
        <v>329</v>
      </c>
      <c r="T100" s="55" t="s">
        <v>330</v>
      </c>
      <c r="U100" s="53"/>
    </row>
    <row r="101" spans="8:8" ht="33.45" hidden="1" customHeight="1">
      <c r="A101" s="22"/>
      <c r="B101" s="22">
        <v>24.0</v>
      </c>
      <c r="C101" s="22"/>
      <c r="D101" s="29" t="s">
        <v>15</v>
      </c>
      <c r="E101" s="29" t="s">
        <v>331</v>
      </c>
      <c r="F101" s="29" t="s">
        <v>90</v>
      </c>
      <c r="G101" s="29"/>
      <c r="H101" s="29"/>
      <c r="I101" s="68"/>
      <c r="J101" s="68"/>
      <c r="K101" s="68"/>
      <c r="L101" s="68">
        <f>L100+10</f>
        <v>45436.0</v>
      </c>
      <c r="M101" s="69" t="s">
        <v>332</v>
      </c>
      <c r="N101" s="69" t="s">
        <v>332</v>
      </c>
      <c r="O101" s="69" t="s">
        <v>332</v>
      </c>
      <c r="P101" s="69" t="s">
        <v>332</v>
      </c>
      <c r="Q101" s="69" t="s">
        <v>332</v>
      </c>
      <c r="R101" s="69" t="s">
        <v>332</v>
      </c>
      <c r="S101" s="69" t="s">
        <v>332</v>
      </c>
      <c r="T101" s="41" t="s">
        <v>110</v>
      </c>
      <c r="U101" s="71" t="s">
        <v>111</v>
      </c>
    </row>
    <row r="102" spans="8:8" ht="33.45" hidden="1" customHeight="1">
      <c r="A102" s="22"/>
      <c r="B102" s="22">
        <v>25.0</v>
      </c>
      <c r="C102" s="22"/>
      <c r="D102" s="29" t="s">
        <v>15</v>
      </c>
      <c r="E102" s="97" t="s">
        <v>333</v>
      </c>
      <c r="F102" s="29" t="s">
        <v>90</v>
      </c>
      <c r="G102" s="29"/>
      <c r="H102" s="29"/>
      <c r="I102" s="68"/>
      <c r="J102" s="68"/>
      <c r="K102" s="68"/>
      <c r="L102" s="68">
        <f>L100+30</f>
        <v>45456.0</v>
      </c>
      <c r="M102" s="69" t="s">
        <v>334</v>
      </c>
      <c r="N102" s="69" t="s">
        <v>334</v>
      </c>
      <c r="O102" s="69" t="s">
        <v>334</v>
      </c>
      <c r="P102" s="69" t="s">
        <v>334</v>
      </c>
      <c r="Q102" s="69" t="s">
        <v>334</v>
      </c>
      <c r="R102" s="69" t="s">
        <v>334</v>
      </c>
      <c r="S102" s="69" t="s">
        <v>334</v>
      </c>
      <c r="T102" s="41" t="s">
        <v>110</v>
      </c>
      <c r="U102" s="71" t="s">
        <v>111</v>
      </c>
    </row>
    <row r="103" spans="8:8" ht="34.95" hidden="1" customHeight="1">
      <c r="A103" s="22"/>
      <c r="B103" s="22"/>
      <c r="C103" s="22">
        <v>63.0</v>
      </c>
      <c r="D103" s="43" t="s">
        <v>39</v>
      </c>
      <c r="E103" s="44" t="s">
        <v>335</v>
      </c>
      <c r="F103" s="43" t="s">
        <v>68</v>
      </c>
      <c r="G103" s="43"/>
      <c r="H103" s="43"/>
      <c r="I103" s="45"/>
      <c r="J103" s="45"/>
      <c r="K103" s="45"/>
      <c r="L103" s="45">
        <f>L100+30</f>
        <v>45456.0</v>
      </c>
      <c r="M103" s="43" t="s">
        <v>334</v>
      </c>
      <c r="N103" s="43" t="s">
        <v>334</v>
      </c>
      <c r="O103" s="43" t="s">
        <v>334</v>
      </c>
      <c r="P103" s="43" t="s">
        <v>334</v>
      </c>
      <c r="Q103" s="43" t="s">
        <v>334</v>
      </c>
      <c r="R103" s="43" t="s">
        <v>334</v>
      </c>
      <c r="S103" s="43" t="s">
        <v>334</v>
      </c>
      <c r="T103" s="47" t="s">
        <v>336</v>
      </c>
      <c r="U103" s="47"/>
    </row>
    <row r="104" spans="8:8" ht="34.95" hidden="1" customHeight="1">
      <c r="A104" s="22"/>
      <c r="B104" s="22">
        <v>26.0</v>
      </c>
      <c r="C104" s="22"/>
      <c r="D104" s="29" t="s">
        <v>15</v>
      </c>
      <c r="E104" s="29" t="s">
        <v>337</v>
      </c>
      <c r="F104" s="29" t="s">
        <v>68</v>
      </c>
      <c r="G104" s="29"/>
      <c r="H104" s="29"/>
      <c r="I104" s="68"/>
      <c r="J104" s="68"/>
      <c r="K104" s="68"/>
      <c r="L104" s="68">
        <f>L100+45</f>
        <v>45471.0</v>
      </c>
      <c r="M104" s="69" t="s">
        <v>338</v>
      </c>
      <c r="N104" s="69" t="s">
        <v>338</v>
      </c>
      <c r="O104" s="69" t="s">
        <v>338</v>
      </c>
      <c r="P104" s="69" t="s">
        <v>338</v>
      </c>
      <c r="Q104" s="69" t="s">
        <v>338</v>
      </c>
      <c r="R104" s="69" t="s">
        <v>338</v>
      </c>
      <c r="S104" s="69" t="s">
        <v>338</v>
      </c>
      <c r="T104" s="70" t="s">
        <v>339</v>
      </c>
      <c r="U104" s="71"/>
    </row>
    <row r="105" spans="8:8" ht="34.95" hidden="1" customHeight="1">
      <c r="A105" s="22"/>
      <c r="B105" s="22">
        <v>27.0</v>
      </c>
      <c r="C105" s="22"/>
      <c r="D105" s="29" t="s">
        <v>15</v>
      </c>
      <c r="E105" s="29" t="s">
        <v>340</v>
      </c>
      <c r="F105" s="29" t="s">
        <v>68</v>
      </c>
      <c r="G105" s="29"/>
      <c r="H105" s="29"/>
      <c r="I105" s="37"/>
      <c r="J105" s="37"/>
      <c r="K105" s="37"/>
      <c r="L105" s="37">
        <f>L100+60</f>
        <v>45486.0</v>
      </c>
      <c r="M105" s="31" t="s">
        <v>341</v>
      </c>
      <c r="N105" s="31" t="s">
        <v>341</v>
      </c>
      <c r="O105" s="31" t="s">
        <v>341</v>
      </c>
      <c r="P105" s="31" t="s">
        <v>341</v>
      </c>
      <c r="Q105" s="31" t="s">
        <v>341</v>
      </c>
      <c r="R105" s="31" t="s">
        <v>341</v>
      </c>
      <c r="S105" s="31" t="s">
        <v>341</v>
      </c>
      <c r="T105" s="38" t="s">
        <v>342</v>
      </c>
      <c r="U105" s="33"/>
    </row>
    <row r="106" spans="8:8" ht="34.95" hidden="1" customHeight="1">
      <c r="A106" s="22"/>
      <c r="B106" s="22"/>
      <c r="C106" s="22">
        <v>64.0</v>
      </c>
      <c r="D106" s="43" t="s">
        <v>39</v>
      </c>
      <c r="E106" s="44" t="s">
        <v>343</v>
      </c>
      <c r="F106" s="43" t="s">
        <v>68</v>
      </c>
      <c r="G106" s="43"/>
      <c r="H106" s="43"/>
      <c r="I106" s="45"/>
      <c r="J106" s="45"/>
      <c r="K106" s="45"/>
      <c r="L106" s="45">
        <f>L100+160</f>
        <v>45586.0</v>
      </c>
      <c r="M106" s="73" t="s">
        <v>344</v>
      </c>
      <c r="N106" s="73" t="s">
        <v>344</v>
      </c>
      <c r="O106" s="73" t="s">
        <v>344</v>
      </c>
      <c r="P106" s="73" t="s">
        <v>344</v>
      </c>
      <c r="Q106" s="73" t="s">
        <v>344</v>
      </c>
      <c r="R106" s="73" t="s">
        <v>344</v>
      </c>
      <c r="S106" s="73" t="s">
        <v>344</v>
      </c>
      <c r="T106" s="47" t="s">
        <v>345</v>
      </c>
      <c r="U106" s="47" t="s">
        <v>246</v>
      </c>
    </row>
    <row r="107" spans="8:8" ht="34.95" hidden="1" customHeight="1">
      <c r="A107" s="22"/>
      <c r="B107" s="22"/>
      <c r="C107" s="22"/>
      <c r="D107" s="75" t="s">
        <v>468</v>
      </c>
      <c r="E107" s="98" t="s">
        <v>485</v>
      </c>
      <c r="F107" s="75" t="s">
        <v>472</v>
      </c>
      <c r="G107" s="75"/>
      <c r="H107" s="75"/>
      <c r="I107" s="78"/>
      <c r="J107" s="78"/>
      <c r="K107" s="78"/>
      <c r="L107" s="78">
        <f>L105+90</f>
        <v>45576.0</v>
      </c>
      <c r="M107" s="75" t="s">
        <v>523</v>
      </c>
      <c r="N107" s="75"/>
      <c r="O107" s="75"/>
      <c r="P107" s="75"/>
      <c r="Q107" s="75"/>
      <c r="R107" s="75"/>
      <c r="S107" s="75"/>
      <c r="T107" s="99"/>
      <c r="U107" s="99"/>
    </row>
    <row r="108" spans="8:8" s="100" ht="45.0" hidden="1" customFormat="1">
      <c r="A108" s="22"/>
      <c r="B108" s="22"/>
      <c r="C108" s="22">
        <v>65.0</v>
      </c>
      <c r="D108" s="43" t="s">
        <v>39</v>
      </c>
      <c r="E108" s="44" t="s">
        <v>346</v>
      </c>
      <c r="F108" s="43" t="s">
        <v>41</v>
      </c>
      <c r="G108" s="43"/>
      <c r="H108" s="43"/>
      <c r="I108" s="45"/>
      <c r="J108" s="45"/>
      <c r="K108" s="45"/>
      <c r="L108" s="45">
        <f>IF(前置信息!$B$10="精装",L100+60,"")</f>
        <v>45486.0</v>
      </c>
      <c r="M108" s="43" t="s">
        <v>341</v>
      </c>
      <c r="N108" s="43" t="s">
        <v>341</v>
      </c>
      <c r="O108" s="43" t="s">
        <v>341</v>
      </c>
      <c r="P108" s="43" t="s">
        <v>341</v>
      </c>
      <c r="Q108" s="43" t="s">
        <v>341</v>
      </c>
      <c r="R108" s="43" t="s">
        <v>341</v>
      </c>
      <c r="S108" s="43" t="s">
        <v>341</v>
      </c>
      <c r="T108" s="47" t="s">
        <v>347</v>
      </c>
      <c r="U108" s="48" t="s">
        <v>348</v>
      </c>
    </row>
    <row r="109" spans="8:8" s="100" ht="75.0" hidden="1" customFormat="1">
      <c r="A109" s="22"/>
      <c r="B109" s="22"/>
      <c r="C109" s="22">
        <v>66.0</v>
      </c>
      <c r="D109" s="49" t="s">
        <v>39</v>
      </c>
      <c r="E109" s="50" t="s">
        <v>349</v>
      </c>
      <c r="F109" s="43" t="s">
        <v>41</v>
      </c>
      <c r="G109" s="43"/>
      <c r="H109" s="43"/>
      <c r="I109" s="45"/>
      <c r="J109" s="45"/>
      <c r="K109" s="45"/>
      <c r="L109" s="45">
        <f>IF(前置信息!$B$10="精装",L100+90,"")</f>
        <v>45516.0</v>
      </c>
      <c r="M109" s="43" t="s">
        <v>350</v>
      </c>
      <c r="N109" s="43" t="s">
        <v>350</v>
      </c>
      <c r="O109" s="43" t="s">
        <v>350</v>
      </c>
      <c r="P109" s="43" t="s">
        <v>350</v>
      </c>
      <c r="Q109" s="43" t="s">
        <v>350</v>
      </c>
      <c r="R109" s="43" t="s">
        <v>350</v>
      </c>
      <c r="S109" s="43" t="s">
        <v>350</v>
      </c>
      <c r="T109" s="51" t="s">
        <v>351</v>
      </c>
      <c r="U109" s="52" t="s">
        <v>348</v>
      </c>
    </row>
    <row r="110" spans="8:8" ht="34.95" hidden="1" customHeight="1">
      <c r="A110" s="22"/>
      <c r="B110" s="22">
        <v>28.0</v>
      </c>
      <c r="C110" s="22"/>
      <c r="D110" s="29" t="s">
        <v>15</v>
      </c>
      <c r="E110" s="97" t="s">
        <v>352</v>
      </c>
      <c r="F110" s="29" t="s">
        <v>68</v>
      </c>
      <c r="G110" s="29"/>
      <c r="H110" s="29"/>
      <c r="I110" s="68"/>
      <c r="J110" s="68"/>
      <c r="K110" s="68"/>
      <c r="L110" s="68">
        <f>IF(前置信息!$B$12="保温涂料",'节点计划 (终稿)'!L100+100,'节点计划 (终稿)'!L100+150)</f>
        <v>45526.0</v>
      </c>
      <c r="M110" s="69" t="s">
        <v>353</v>
      </c>
      <c r="N110" s="69" t="s">
        <v>353</v>
      </c>
      <c r="O110" s="69" t="s">
        <v>353</v>
      </c>
      <c r="P110" s="69" t="s">
        <v>353</v>
      </c>
      <c r="Q110" s="69" t="s">
        <v>353</v>
      </c>
      <c r="R110" s="69" t="s">
        <v>353</v>
      </c>
      <c r="S110" s="69" t="s">
        <v>353</v>
      </c>
      <c r="T110" s="70" t="s">
        <v>345</v>
      </c>
      <c r="U110" s="71" t="s">
        <v>246</v>
      </c>
    </row>
    <row r="111" spans="8:8" s="101" ht="31.95" hidden="1" customFormat="1" customHeight="1">
      <c r="A111" s="58"/>
      <c r="B111" s="22">
        <v>29.0</v>
      </c>
      <c r="C111" s="58"/>
      <c r="D111" s="102" t="s">
        <v>15</v>
      </c>
      <c r="E111" s="102" t="s">
        <v>354</v>
      </c>
      <c r="F111" s="102" t="s">
        <v>68</v>
      </c>
      <c r="G111" s="102"/>
      <c r="H111" s="102"/>
      <c r="I111" s="68"/>
      <c r="J111" s="68"/>
      <c r="K111" s="68"/>
      <c r="L111" s="68">
        <f>L100+150</f>
        <v>45576.0</v>
      </c>
      <c r="M111" s="69" t="s">
        <v>355</v>
      </c>
      <c r="N111" s="69" t="s">
        <v>355</v>
      </c>
      <c r="O111" s="69" t="s">
        <v>355</v>
      </c>
      <c r="P111" s="69" t="s">
        <v>355</v>
      </c>
      <c r="Q111" s="69" t="s">
        <v>355</v>
      </c>
      <c r="R111" s="69" t="s">
        <v>355</v>
      </c>
      <c r="S111" s="69" t="s">
        <v>355</v>
      </c>
      <c r="T111" s="103" t="s">
        <v>356</v>
      </c>
      <c r="U111" s="104"/>
    </row>
    <row r="112" spans="8:8" ht="30.45" customHeight="1">
      <c r="A112" s="22">
        <v>11.0</v>
      </c>
      <c r="B112" s="22"/>
      <c r="C112" s="58"/>
      <c r="D112" s="53" t="s">
        <v>62</v>
      </c>
      <c r="E112" s="53" t="s">
        <v>467</v>
      </c>
      <c r="F112" s="53" t="s">
        <v>68</v>
      </c>
      <c r="G112" s="53"/>
      <c r="H112" s="53"/>
      <c r="I112" s="54"/>
      <c r="J112" s="54"/>
      <c r="K112" s="54"/>
      <c r="L112" s="54">
        <f>L116+30</f>
        <v>45626.0</v>
      </c>
      <c r="M112" s="66" t="s">
        <v>344</v>
      </c>
      <c r="N112" s="66" t="s">
        <v>357</v>
      </c>
      <c r="O112" s="66" t="s">
        <v>357</v>
      </c>
      <c r="P112" s="66" t="s">
        <v>357</v>
      </c>
      <c r="Q112" s="66" t="s">
        <v>344</v>
      </c>
      <c r="R112" s="66" t="s">
        <v>358</v>
      </c>
      <c r="S112" s="66" t="s">
        <v>359</v>
      </c>
      <c r="T112" s="55" t="s">
        <v>360</v>
      </c>
      <c r="U112" s="53"/>
    </row>
    <row r="113" spans="8:8" s="101" ht="31.95" hidden="1" customFormat="1" customHeight="1">
      <c r="A113" s="58"/>
      <c r="B113" s="22">
        <v>30.0</v>
      </c>
      <c r="C113" s="58"/>
      <c r="D113" s="102" t="s">
        <v>15</v>
      </c>
      <c r="E113" s="102" t="s">
        <v>466</v>
      </c>
      <c r="F113" s="102" t="s">
        <v>68</v>
      </c>
      <c r="G113" s="102"/>
      <c r="H113" s="102"/>
      <c r="I113" s="68"/>
      <c r="J113" s="68"/>
      <c r="K113" s="68"/>
      <c r="L113" s="68">
        <f>L100+160</f>
        <v>45586.0</v>
      </c>
      <c r="M113" s="69" t="s">
        <v>361</v>
      </c>
      <c r="N113" s="69" t="s">
        <v>361</v>
      </c>
      <c r="O113" s="69" t="s">
        <v>361</v>
      </c>
      <c r="P113" s="69" t="s">
        <v>361</v>
      </c>
      <c r="Q113" s="69" t="s">
        <v>361</v>
      </c>
      <c r="R113" s="69" t="s">
        <v>361</v>
      </c>
      <c r="S113" s="69" t="s">
        <v>361</v>
      </c>
      <c r="T113" s="103" t="s">
        <v>362</v>
      </c>
      <c r="U113" s="104"/>
    </row>
    <row r="114" spans="8:8" ht="33.45" hidden="1" customHeight="1">
      <c r="A114" s="22"/>
      <c r="B114" s="22"/>
      <c r="C114" s="22">
        <v>67.0</v>
      </c>
      <c r="D114" s="43" t="s">
        <v>39</v>
      </c>
      <c r="E114" s="44" t="s">
        <v>363</v>
      </c>
      <c r="F114" s="43" t="s">
        <v>46</v>
      </c>
      <c r="G114" s="43"/>
      <c r="H114" s="43"/>
      <c r="I114" s="45"/>
      <c r="J114" s="45"/>
      <c r="K114" s="45"/>
      <c r="L114" s="45">
        <f>L112+10</f>
        <v>45636.0</v>
      </c>
      <c r="M114" s="43" t="s">
        <v>364</v>
      </c>
      <c r="N114" s="43" t="s">
        <v>364</v>
      </c>
      <c r="O114" s="43" t="s">
        <v>364</v>
      </c>
      <c r="P114" s="43" t="s">
        <v>364</v>
      </c>
      <c r="Q114" s="43" t="s">
        <v>364</v>
      </c>
      <c r="R114" s="43" t="s">
        <v>364</v>
      </c>
      <c r="S114" s="43" t="s">
        <v>364</v>
      </c>
      <c r="T114" s="64" t="s">
        <v>365</v>
      </c>
      <c r="U114" s="48" t="s">
        <v>366</v>
      </c>
    </row>
    <row r="115" spans="8:8" ht="45.0" hidden="1">
      <c r="A115" s="22"/>
      <c r="B115" s="22"/>
      <c r="C115" s="22">
        <v>68.0</v>
      </c>
      <c r="D115" s="49" t="s">
        <v>39</v>
      </c>
      <c r="E115" s="50" t="s">
        <v>367</v>
      </c>
      <c r="F115" s="43" t="s">
        <v>46</v>
      </c>
      <c r="G115" s="43"/>
      <c r="H115" s="43"/>
      <c r="I115" s="45"/>
      <c r="J115" s="45"/>
      <c r="K115" s="45"/>
      <c r="L115" s="45">
        <f>L112+10</f>
        <v>45636.0</v>
      </c>
      <c r="M115" s="43" t="s">
        <v>364</v>
      </c>
      <c r="N115" s="43" t="s">
        <v>364</v>
      </c>
      <c r="O115" s="43" t="s">
        <v>364</v>
      </c>
      <c r="P115" s="43" t="s">
        <v>364</v>
      </c>
      <c r="Q115" s="43" t="s">
        <v>364</v>
      </c>
      <c r="R115" s="43" t="s">
        <v>364</v>
      </c>
      <c r="S115" s="43" t="s">
        <v>364</v>
      </c>
      <c r="T115" s="51" t="s">
        <v>368</v>
      </c>
      <c r="U115" s="52" t="s">
        <v>369</v>
      </c>
    </row>
    <row r="116" spans="8:8" s="101" ht="31.95" hidden="1" customFormat="1" customHeight="1">
      <c r="A116" s="58"/>
      <c r="B116" s="22">
        <v>31.0</v>
      </c>
      <c r="C116" s="105"/>
      <c r="D116" s="102" t="s">
        <v>15</v>
      </c>
      <c r="E116" s="102" t="s">
        <v>370</v>
      </c>
      <c r="F116" s="102" t="s">
        <v>68</v>
      </c>
      <c r="G116" s="102"/>
      <c r="H116" s="102"/>
      <c r="I116" s="68"/>
      <c r="J116" s="68"/>
      <c r="K116" s="68"/>
      <c r="L116" s="68">
        <f>IF(前置信息!$B$8&lt;8,'节点计划 (终稿)'!L100+150,'节点计划 (终稿)'!L100+170)</f>
        <v>45596.0</v>
      </c>
      <c r="M116" s="69" t="s">
        <v>371</v>
      </c>
      <c r="N116" s="69" t="s">
        <v>355</v>
      </c>
      <c r="O116" s="69" t="s">
        <v>355</v>
      </c>
      <c r="P116" s="69" t="s">
        <v>355</v>
      </c>
      <c r="Q116" s="69" t="s">
        <v>371</v>
      </c>
      <c r="R116" s="69" t="s">
        <v>371</v>
      </c>
      <c r="S116" s="69" t="s">
        <v>371</v>
      </c>
      <c r="T116" s="103" t="s">
        <v>372</v>
      </c>
      <c r="U116" s="104"/>
    </row>
    <row r="117" spans="8:8" s="100" ht="33.45" hidden="1" customFormat="1" customHeight="1">
      <c r="A117" s="22"/>
      <c r="B117" s="22"/>
      <c r="C117" s="22">
        <v>69.0</v>
      </c>
      <c r="D117" s="49" t="s">
        <v>39</v>
      </c>
      <c r="E117" s="49" t="s">
        <v>373</v>
      </c>
      <c r="F117" s="43" t="s">
        <v>41</v>
      </c>
      <c r="G117" s="43"/>
      <c r="H117" s="43"/>
      <c r="I117" s="45"/>
      <c r="J117" s="45"/>
      <c r="K117" s="45"/>
      <c r="L117" s="45">
        <f>IF(前置信息!$B$10="精装",L139-150,"")</f>
        <v>45666.0</v>
      </c>
      <c r="M117" s="43" t="s">
        <v>374</v>
      </c>
      <c r="N117" s="43" t="s">
        <v>374</v>
      </c>
      <c r="O117" s="43" t="s">
        <v>374</v>
      </c>
      <c r="P117" s="43" t="s">
        <v>374</v>
      </c>
      <c r="Q117" s="43" t="s">
        <v>374</v>
      </c>
      <c r="R117" s="43" t="s">
        <v>374</v>
      </c>
      <c r="S117" s="43" t="s">
        <v>374</v>
      </c>
      <c r="T117" s="52" t="s">
        <v>375</v>
      </c>
      <c r="U117" s="51" t="s">
        <v>376</v>
      </c>
    </row>
    <row r="118" spans="8:8" s="100" ht="34.95" hidden="1" customFormat="1" customHeight="1">
      <c r="A118" s="22"/>
      <c r="B118" s="22"/>
      <c r="C118" s="22">
        <v>70.0</v>
      </c>
      <c r="D118" s="49" t="s">
        <v>39</v>
      </c>
      <c r="E118" s="49" t="s">
        <v>377</v>
      </c>
      <c r="F118" s="43" t="s">
        <v>41</v>
      </c>
      <c r="G118" s="43"/>
      <c r="H118" s="43"/>
      <c r="I118" s="45"/>
      <c r="J118" s="45"/>
      <c r="K118" s="45"/>
      <c r="L118" s="45">
        <f>IF(前置信息!$B$10="精装",L139-120,"")</f>
        <v>45696.0</v>
      </c>
      <c r="M118" s="43" t="s">
        <v>378</v>
      </c>
      <c r="N118" s="43" t="s">
        <v>378</v>
      </c>
      <c r="O118" s="43" t="s">
        <v>378</v>
      </c>
      <c r="P118" s="43" t="s">
        <v>378</v>
      </c>
      <c r="Q118" s="43" t="s">
        <v>378</v>
      </c>
      <c r="R118" s="43" t="s">
        <v>378</v>
      </c>
      <c r="S118" s="43" t="s">
        <v>378</v>
      </c>
      <c r="T118" s="86" t="s">
        <v>375</v>
      </c>
      <c r="U118" s="51" t="s">
        <v>376</v>
      </c>
    </row>
    <row r="119" spans="8:8" ht="30.0" hidden="1">
      <c r="A119" s="22"/>
      <c r="B119" s="22"/>
      <c r="C119" s="22">
        <v>71.0</v>
      </c>
      <c r="D119" s="49" t="s">
        <v>39</v>
      </c>
      <c r="E119" s="50" t="s">
        <v>379</v>
      </c>
      <c r="F119" s="43" t="s">
        <v>46</v>
      </c>
      <c r="G119" s="43"/>
      <c r="H119" s="43"/>
      <c r="I119" s="45"/>
      <c r="J119" s="45"/>
      <c r="K119" s="45"/>
      <c r="L119" s="45">
        <f>L112+60</f>
        <v>45686.0</v>
      </c>
      <c r="M119" s="43" t="s">
        <v>380</v>
      </c>
      <c r="N119" s="43" t="s">
        <v>380</v>
      </c>
      <c r="O119" s="43" t="s">
        <v>380</v>
      </c>
      <c r="P119" s="43" t="s">
        <v>380</v>
      </c>
      <c r="Q119" s="43" t="s">
        <v>380</v>
      </c>
      <c r="R119" s="43" t="s">
        <v>380</v>
      </c>
      <c r="S119" s="43" t="s">
        <v>380</v>
      </c>
      <c r="T119" s="62" t="s">
        <v>527</v>
      </c>
      <c r="U119" s="52" t="s">
        <v>381</v>
      </c>
    </row>
    <row r="120" spans="8:8" ht="45.0" hidden="1">
      <c r="A120" s="22"/>
      <c r="B120" s="22"/>
      <c r="C120" s="22">
        <v>72.0</v>
      </c>
      <c r="D120" s="49" t="s">
        <v>39</v>
      </c>
      <c r="E120" s="50" t="s">
        <v>382</v>
      </c>
      <c r="F120" s="43" t="s">
        <v>46</v>
      </c>
      <c r="G120" s="43"/>
      <c r="H120" s="43"/>
      <c r="I120" s="45"/>
      <c r="J120" s="45"/>
      <c r="K120" s="45"/>
      <c r="L120" s="45">
        <f>L119+30</f>
        <v>45716.0</v>
      </c>
      <c r="M120" s="43" t="s">
        <v>383</v>
      </c>
      <c r="N120" s="43" t="s">
        <v>383</v>
      </c>
      <c r="O120" s="43" t="s">
        <v>383</v>
      </c>
      <c r="P120" s="43" t="s">
        <v>383</v>
      </c>
      <c r="Q120" s="43" t="s">
        <v>383</v>
      </c>
      <c r="R120" s="43" t="s">
        <v>383</v>
      </c>
      <c r="S120" s="43" t="s">
        <v>383</v>
      </c>
      <c r="T120" s="62" t="s">
        <v>525</v>
      </c>
      <c r="U120" s="65" t="s">
        <v>526</v>
      </c>
    </row>
    <row r="121" spans="8:8" s="100" ht="31.2" hidden="1" customFormat="1" customHeight="1">
      <c r="A121" s="22"/>
      <c r="B121" s="22"/>
      <c r="C121" s="22">
        <v>73.0</v>
      </c>
      <c r="D121" s="43" t="s">
        <v>39</v>
      </c>
      <c r="E121" s="49" t="s">
        <v>384</v>
      </c>
      <c r="F121" s="43" t="s">
        <v>41</v>
      </c>
      <c r="G121" s="43"/>
      <c r="H121" s="43"/>
      <c r="I121" s="45"/>
      <c r="J121" s="45"/>
      <c r="K121" s="45"/>
      <c r="L121" s="45">
        <f>IF(前置信息!$B$10="精装",L139-70,"")</f>
        <v>45746.0</v>
      </c>
      <c r="M121" s="43" t="s">
        <v>385</v>
      </c>
      <c r="N121" s="43" t="s">
        <v>385</v>
      </c>
      <c r="O121" s="43" t="s">
        <v>385</v>
      </c>
      <c r="P121" s="43" t="s">
        <v>385</v>
      </c>
      <c r="Q121" s="43" t="s">
        <v>385</v>
      </c>
      <c r="R121" s="43" t="s">
        <v>385</v>
      </c>
      <c r="S121" s="43" t="s">
        <v>385</v>
      </c>
      <c r="T121" s="47"/>
      <c r="U121" s="48"/>
    </row>
    <row r="122" spans="8:8" ht="29.7" hidden="1" customHeight="1">
      <c r="A122" s="22"/>
      <c r="B122" s="22"/>
      <c r="C122" s="22">
        <v>74.0</v>
      </c>
      <c r="D122" s="43" t="s">
        <v>39</v>
      </c>
      <c r="E122" s="43" t="s">
        <v>386</v>
      </c>
      <c r="F122" s="44" t="s">
        <v>68</v>
      </c>
      <c r="G122" s="44"/>
      <c r="H122" s="44"/>
      <c r="I122" s="45"/>
      <c r="J122" s="45"/>
      <c r="K122" s="45"/>
      <c r="L122" s="45">
        <f>L133-40</f>
        <v>45756.0</v>
      </c>
      <c r="M122" s="43" t="s">
        <v>387</v>
      </c>
      <c r="N122" s="43" t="s">
        <v>387</v>
      </c>
      <c r="O122" s="43" t="s">
        <v>387</v>
      </c>
      <c r="P122" s="43" t="s">
        <v>387</v>
      </c>
      <c r="Q122" s="43" t="s">
        <v>387</v>
      </c>
      <c r="R122" s="43" t="s">
        <v>387</v>
      </c>
      <c r="S122" s="43" t="s">
        <v>387</v>
      </c>
      <c r="T122" s="61" t="s">
        <v>388</v>
      </c>
      <c r="U122" s="47" t="s">
        <v>246</v>
      </c>
    </row>
    <row r="123" spans="8:8" ht="29.7" hidden="1" customHeight="1">
      <c r="A123" s="22"/>
      <c r="B123" s="22">
        <v>32.0</v>
      </c>
      <c r="C123" s="22"/>
      <c r="D123" s="29" t="s">
        <v>15</v>
      </c>
      <c r="E123" s="29" t="s">
        <v>389</v>
      </c>
      <c r="F123" s="106" t="s">
        <v>41</v>
      </c>
      <c r="G123" s="106"/>
      <c r="H123" s="106"/>
      <c r="I123" s="68"/>
      <c r="J123" s="68"/>
      <c r="K123" s="68"/>
      <c r="L123" s="68">
        <f>L139-60</f>
        <v>45756.0</v>
      </c>
      <c r="M123" s="69" t="s">
        <v>390</v>
      </c>
      <c r="N123" s="69" t="s">
        <v>390</v>
      </c>
      <c r="O123" s="69" t="s">
        <v>390</v>
      </c>
      <c r="P123" s="69" t="s">
        <v>390</v>
      </c>
      <c r="Q123" s="69" t="s">
        <v>390</v>
      </c>
      <c r="R123" s="69" t="s">
        <v>390</v>
      </c>
      <c r="S123" s="69" t="s">
        <v>390</v>
      </c>
      <c r="T123" s="103" t="s">
        <v>360</v>
      </c>
      <c r="U123" s="107"/>
    </row>
    <row r="124" spans="8:8" ht="34.95" hidden="1" customHeight="1">
      <c r="A124" s="22"/>
      <c r="B124" s="22"/>
      <c r="C124" s="22">
        <v>75.0</v>
      </c>
      <c r="D124" s="43" t="s">
        <v>39</v>
      </c>
      <c r="E124" s="44" t="s">
        <v>391</v>
      </c>
      <c r="F124" s="43" t="s">
        <v>68</v>
      </c>
      <c r="G124" s="43"/>
      <c r="H124" s="43"/>
      <c r="I124" s="45"/>
      <c r="J124" s="45"/>
      <c r="K124" s="45"/>
      <c r="L124" s="45">
        <f>L112+120</f>
        <v>45746.0</v>
      </c>
      <c r="M124" s="43" t="s">
        <v>392</v>
      </c>
      <c r="N124" s="43" t="s">
        <v>392</v>
      </c>
      <c r="O124" s="43" t="s">
        <v>392</v>
      </c>
      <c r="P124" s="43" t="s">
        <v>392</v>
      </c>
      <c r="Q124" s="43" t="s">
        <v>392</v>
      </c>
      <c r="R124" s="43" t="s">
        <v>392</v>
      </c>
      <c r="S124" s="43" t="s">
        <v>392</v>
      </c>
      <c r="T124" s="47" t="s">
        <v>393</v>
      </c>
      <c r="U124" s="47"/>
    </row>
    <row r="125" spans="8:8" ht="75.0" hidden="1">
      <c r="A125" s="22"/>
      <c r="B125" s="22"/>
      <c r="C125" s="22">
        <v>76.0</v>
      </c>
      <c r="D125" s="49" t="s">
        <v>39</v>
      </c>
      <c r="E125" s="50" t="s">
        <v>394</v>
      </c>
      <c r="F125" s="43" t="s">
        <v>46</v>
      </c>
      <c r="G125" s="43"/>
      <c r="H125" s="43"/>
      <c r="I125" s="45"/>
      <c r="J125" s="45"/>
      <c r="K125" s="45"/>
      <c r="L125" s="45">
        <f>L120+30</f>
        <v>45746.0</v>
      </c>
      <c r="M125" s="43" t="s">
        <v>395</v>
      </c>
      <c r="N125" s="43" t="s">
        <v>395</v>
      </c>
      <c r="O125" s="43" t="s">
        <v>395</v>
      </c>
      <c r="P125" s="43" t="s">
        <v>395</v>
      </c>
      <c r="Q125" s="43" t="s">
        <v>395</v>
      </c>
      <c r="R125" s="43" t="s">
        <v>395</v>
      </c>
      <c r="S125" s="43" t="s">
        <v>395</v>
      </c>
      <c r="T125" s="51" t="s">
        <v>396</v>
      </c>
      <c r="U125" s="52" t="s">
        <v>397</v>
      </c>
    </row>
    <row r="126" spans="8:8" ht="31.95" hidden="1" customHeight="1">
      <c r="A126" s="22"/>
      <c r="B126" s="22">
        <v>33.0</v>
      </c>
      <c r="C126" s="22"/>
      <c r="D126" s="29" t="s">
        <v>15</v>
      </c>
      <c r="E126" s="29" t="s">
        <v>398</v>
      </c>
      <c r="F126" s="39" t="s">
        <v>46</v>
      </c>
      <c r="G126" s="39"/>
      <c r="H126" s="39"/>
      <c r="I126" s="68"/>
      <c r="J126" s="68"/>
      <c r="K126" s="68"/>
      <c r="L126" s="68">
        <f>L112+120</f>
        <v>45746.0</v>
      </c>
      <c r="M126" s="69" t="s">
        <v>392</v>
      </c>
      <c r="N126" s="69" t="s">
        <v>392</v>
      </c>
      <c r="O126" s="69" t="s">
        <v>392</v>
      </c>
      <c r="P126" s="69" t="s">
        <v>392</v>
      </c>
      <c r="Q126" s="69" t="s">
        <v>392</v>
      </c>
      <c r="R126" s="69" t="s">
        <v>392</v>
      </c>
      <c r="S126" s="69" t="s">
        <v>392</v>
      </c>
      <c r="T126" s="70" t="s">
        <v>345</v>
      </c>
      <c r="U126" s="71" t="s">
        <v>399</v>
      </c>
    </row>
    <row r="127" spans="8:8" s="100" ht="28.95" hidden="1" customFormat="1" customHeight="1">
      <c r="A127" s="22"/>
      <c r="B127" s="22"/>
      <c r="C127" s="22">
        <v>77.0</v>
      </c>
      <c r="D127" s="43" t="s">
        <v>39</v>
      </c>
      <c r="E127" s="44" t="s">
        <v>400</v>
      </c>
      <c r="F127" s="43" t="s">
        <v>41</v>
      </c>
      <c r="G127" s="43"/>
      <c r="H127" s="43"/>
      <c r="I127" s="45"/>
      <c r="J127" s="45"/>
      <c r="K127" s="45"/>
      <c r="L127" s="45">
        <f>IF(前置信息!$B$10="精装",L139-45,"")</f>
        <v>45771.0</v>
      </c>
      <c r="M127" s="43" t="s">
        <v>401</v>
      </c>
      <c r="N127" s="43" t="s">
        <v>401</v>
      </c>
      <c r="O127" s="43" t="s">
        <v>401</v>
      </c>
      <c r="P127" s="43" t="s">
        <v>401</v>
      </c>
      <c r="Q127" s="43" t="s">
        <v>401</v>
      </c>
      <c r="R127" s="43" t="s">
        <v>401</v>
      </c>
      <c r="S127" s="43" t="s">
        <v>401</v>
      </c>
      <c r="T127" s="47"/>
      <c r="U127" s="48"/>
    </row>
    <row r="128" spans="8:8" ht="29.7" hidden="1" customHeight="1">
      <c r="A128" s="22"/>
      <c r="B128" s="22"/>
      <c r="C128" s="22">
        <v>78.0</v>
      </c>
      <c r="D128" s="43" t="s">
        <v>39</v>
      </c>
      <c r="E128" s="43" t="s">
        <v>402</v>
      </c>
      <c r="F128" s="44" t="s">
        <v>68</v>
      </c>
      <c r="G128" s="44"/>
      <c r="H128" s="44"/>
      <c r="I128" s="45"/>
      <c r="J128" s="45"/>
      <c r="K128" s="45"/>
      <c r="L128" s="45">
        <f>L133-20</f>
        <v>45776.0</v>
      </c>
      <c r="M128" s="43" t="s">
        <v>403</v>
      </c>
      <c r="N128" s="43" t="s">
        <v>403</v>
      </c>
      <c r="O128" s="43" t="s">
        <v>403</v>
      </c>
      <c r="P128" s="43" t="s">
        <v>403</v>
      </c>
      <c r="Q128" s="43" t="s">
        <v>403</v>
      </c>
      <c r="R128" s="43" t="s">
        <v>403</v>
      </c>
      <c r="S128" s="43" t="s">
        <v>403</v>
      </c>
      <c r="T128" s="61"/>
      <c r="U128" s="47"/>
    </row>
    <row r="129" spans="8:8" ht="29.7" hidden="1" customHeight="1">
      <c r="A129" s="22"/>
      <c r="B129" s="22"/>
      <c r="C129" s="22">
        <v>79.0</v>
      </c>
      <c r="D129" s="43" t="s">
        <v>39</v>
      </c>
      <c r="E129" s="108" t="s">
        <v>404</v>
      </c>
      <c r="F129" s="43" t="s">
        <v>68</v>
      </c>
      <c r="G129" s="43"/>
      <c r="H129" s="43"/>
      <c r="I129" s="45"/>
      <c r="J129" s="45"/>
      <c r="K129" s="45"/>
      <c r="L129" s="45">
        <f>L133-20</f>
        <v>45776.0</v>
      </c>
      <c r="M129" s="43" t="s">
        <v>403</v>
      </c>
      <c r="N129" s="43" t="s">
        <v>403</v>
      </c>
      <c r="O129" s="43" t="s">
        <v>403</v>
      </c>
      <c r="P129" s="43" t="s">
        <v>403</v>
      </c>
      <c r="Q129" s="43" t="s">
        <v>403</v>
      </c>
      <c r="R129" s="43" t="s">
        <v>403</v>
      </c>
      <c r="S129" s="43" t="s">
        <v>403</v>
      </c>
      <c r="T129" s="61"/>
      <c r="U129" s="48"/>
    </row>
    <row r="130" spans="8:8" ht="29.7" hidden="1" customHeight="1">
      <c r="A130" s="22"/>
      <c r="B130" s="22"/>
      <c r="C130" s="22">
        <v>80.0</v>
      </c>
      <c r="D130" s="43" t="s">
        <v>39</v>
      </c>
      <c r="E130" s="44" t="s">
        <v>405</v>
      </c>
      <c r="F130" s="43" t="s">
        <v>46</v>
      </c>
      <c r="G130" s="43"/>
      <c r="H130" s="43"/>
      <c r="I130" s="45"/>
      <c r="J130" s="45"/>
      <c r="K130" s="45"/>
      <c r="L130" s="45">
        <f>L139-30</f>
        <v>45786.0</v>
      </c>
      <c r="M130" s="43" t="s">
        <v>406</v>
      </c>
      <c r="N130" s="43" t="s">
        <v>406</v>
      </c>
      <c r="O130" s="43" t="s">
        <v>406</v>
      </c>
      <c r="P130" s="43" t="s">
        <v>406</v>
      </c>
      <c r="Q130" s="43" t="s">
        <v>406</v>
      </c>
      <c r="R130" s="43" t="s">
        <v>406</v>
      </c>
      <c r="S130" s="43" t="s">
        <v>406</v>
      </c>
      <c r="T130" s="47" t="s">
        <v>407</v>
      </c>
      <c r="U130" s="48" t="s">
        <v>399</v>
      </c>
    </row>
    <row r="131" spans="8:8" ht="29.7" hidden="1" customHeight="1">
      <c r="A131" s="22"/>
      <c r="B131" s="22">
        <v>34.0</v>
      </c>
      <c r="C131" s="22"/>
      <c r="D131" s="29" t="s">
        <v>15</v>
      </c>
      <c r="E131" s="29" t="s">
        <v>408</v>
      </c>
      <c r="F131" s="39" t="s">
        <v>41</v>
      </c>
      <c r="G131" s="39"/>
      <c r="H131" s="39"/>
      <c r="I131" s="68"/>
      <c r="J131" s="68"/>
      <c r="K131" s="68"/>
      <c r="L131" s="68">
        <f>IF(前置信息!$B$10="精装",L139-30,"")</f>
        <v>45786.0</v>
      </c>
      <c r="M131" s="69" t="s">
        <v>406</v>
      </c>
      <c r="N131" s="69" t="s">
        <v>406</v>
      </c>
      <c r="O131" s="69" t="s">
        <v>406</v>
      </c>
      <c r="P131" s="69" t="s">
        <v>406</v>
      </c>
      <c r="Q131" s="69" t="s">
        <v>406</v>
      </c>
      <c r="R131" s="69" t="s">
        <v>406</v>
      </c>
      <c r="S131" s="69" t="s">
        <v>406</v>
      </c>
      <c r="T131" s="70" t="s">
        <v>345</v>
      </c>
      <c r="U131" s="71" t="s">
        <v>376</v>
      </c>
    </row>
    <row r="132" spans="8:8" ht="29.7" hidden="1" customHeight="1">
      <c r="A132" s="22"/>
      <c r="B132" s="22">
        <v>35.0</v>
      </c>
      <c r="C132" s="22"/>
      <c r="D132" s="29" t="s">
        <v>15</v>
      </c>
      <c r="E132" s="29" t="s">
        <v>409</v>
      </c>
      <c r="F132" s="39" t="s">
        <v>20</v>
      </c>
      <c r="G132" s="39"/>
      <c r="H132" s="39"/>
      <c r="I132" s="68"/>
      <c r="J132" s="68"/>
      <c r="K132" s="68"/>
      <c r="L132" s="68">
        <f>L139-20</f>
        <v>45796.0</v>
      </c>
      <c r="M132" s="69" t="s">
        <v>410</v>
      </c>
      <c r="N132" s="69" t="s">
        <v>410</v>
      </c>
      <c r="O132" s="69" t="s">
        <v>410</v>
      </c>
      <c r="P132" s="69" t="s">
        <v>410</v>
      </c>
      <c r="Q132" s="69" t="s">
        <v>410</v>
      </c>
      <c r="R132" s="69" t="s">
        <v>410</v>
      </c>
      <c r="S132" s="69" t="s">
        <v>410</v>
      </c>
      <c r="T132" s="70" t="s">
        <v>411</v>
      </c>
      <c r="U132" s="71"/>
    </row>
    <row r="133" spans="8:8" ht="29.7" hidden="1" customHeight="1">
      <c r="A133" s="22"/>
      <c r="B133" s="22">
        <v>36.0</v>
      </c>
      <c r="C133" s="22"/>
      <c r="D133" s="29" t="s">
        <v>15</v>
      </c>
      <c r="E133" s="29" t="s">
        <v>412</v>
      </c>
      <c r="F133" s="39" t="s">
        <v>20</v>
      </c>
      <c r="G133" s="39"/>
      <c r="H133" s="39"/>
      <c r="I133" s="68"/>
      <c r="J133" s="68"/>
      <c r="K133" s="68"/>
      <c r="L133" s="68">
        <f>L139-20</f>
        <v>45796.0</v>
      </c>
      <c r="M133" s="69" t="s">
        <v>410</v>
      </c>
      <c r="N133" s="69" t="s">
        <v>410</v>
      </c>
      <c r="O133" s="69" t="s">
        <v>410</v>
      </c>
      <c r="P133" s="69" t="s">
        <v>410</v>
      </c>
      <c r="Q133" s="69" t="s">
        <v>410</v>
      </c>
      <c r="R133" s="69" t="s">
        <v>410</v>
      </c>
      <c r="S133" s="69" t="s">
        <v>410</v>
      </c>
      <c r="T133" s="70" t="s">
        <v>413</v>
      </c>
      <c r="U133" s="71"/>
    </row>
    <row r="134" spans="8:8" s="100" ht="29.7" hidden="1" customFormat="1" customHeight="1">
      <c r="A134" s="22"/>
      <c r="B134" s="22">
        <v>37.0</v>
      </c>
      <c r="C134" s="22"/>
      <c r="D134" s="29" t="s">
        <v>15</v>
      </c>
      <c r="E134" s="29" t="s">
        <v>414</v>
      </c>
      <c r="F134" s="39" t="s">
        <v>20</v>
      </c>
      <c r="G134" s="39"/>
      <c r="H134" s="39"/>
      <c r="I134" s="68"/>
      <c r="J134" s="68"/>
      <c r="K134" s="68"/>
      <c r="L134" s="68">
        <f>L139-20</f>
        <v>45796.0</v>
      </c>
      <c r="M134" s="69" t="s">
        <v>410</v>
      </c>
      <c r="N134" s="69" t="s">
        <v>410</v>
      </c>
      <c r="O134" s="69" t="s">
        <v>410</v>
      </c>
      <c r="P134" s="69" t="s">
        <v>410</v>
      </c>
      <c r="Q134" s="69" t="s">
        <v>410</v>
      </c>
      <c r="R134" s="69" t="s">
        <v>410</v>
      </c>
      <c r="S134" s="69" t="s">
        <v>410</v>
      </c>
      <c r="T134" s="70" t="s">
        <v>415</v>
      </c>
      <c r="U134" s="71"/>
    </row>
    <row r="135" spans="8:8" ht="34.2" hidden="1" customHeight="1">
      <c r="A135" s="22"/>
      <c r="B135" s="22"/>
      <c r="C135" s="22">
        <v>81.0</v>
      </c>
      <c r="D135" s="43" t="s">
        <v>39</v>
      </c>
      <c r="E135" s="47" t="s">
        <v>416</v>
      </c>
      <c r="F135" s="44" t="s">
        <v>465</v>
      </c>
      <c r="G135" s="47"/>
      <c r="H135" s="47"/>
      <c r="I135" s="45"/>
      <c r="J135" s="45"/>
      <c r="K135" s="45"/>
      <c r="L135" s="45">
        <f>L145-75</f>
        <v>45801.0</v>
      </c>
      <c r="M135" s="43" t="s">
        <v>417</v>
      </c>
      <c r="N135" s="43" t="s">
        <v>417</v>
      </c>
      <c r="O135" s="43" t="s">
        <v>417</v>
      </c>
      <c r="P135" s="43" t="s">
        <v>417</v>
      </c>
      <c r="Q135" s="43" t="s">
        <v>417</v>
      </c>
      <c r="R135" s="43" t="s">
        <v>417</v>
      </c>
      <c r="S135" s="43" t="s">
        <v>417</v>
      </c>
      <c r="T135" s="61" t="s">
        <v>418</v>
      </c>
      <c r="U135" s="48"/>
    </row>
    <row r="136" spans="8:8" ht="29.7" hidden="1" customHeight="1">
      <c r="A136" s="22"/>
      <c r="B136" s="22"/>
      <c r="C136" s="22">
        <v>82.0</v>
      </c>
      <c r="D136" s="43" t="s">
        <v>39</v>
      </c>
      <c r="E136" s="44" t="s">
        <v>419</v>
      </c>
      <c r="F136" s="44" t="s">
        <v>68</v>
      </c>
      <c r="G136" s="44"/>
      <c r="H136" s="44"/>
      <c r="I136" s="45"/>
      <c r="J136" s="45"/>
      <c r="K136" s="45"/>
      <c r="L136" s="45">
        <f>L139-15</f>
        <v>45801.0</v>
      </c>
      <c r="M136" s="43" t="s">
        <v>420</v>
      </c>
      <c r="N136" s="43" t="s">
        <v>420</v>
      </c>
      <c r="O136" s="43" t="s">
        <v>420</v>
      </c>
      <c r="P136" s="43" t="s">
        <v>420</v>
      </c>
      <c r="Q136" s="43" t="s">
        <v>420</v>
      </c>
      <c r="R136" s="43" t="s">
        <v>420</v>
      </c>
      <c r="S136" s="43" t="s">
        <v>420</v>
      </c>
      <c r="T136" s="61" t="s">
        <v>421</v>
      </c>
      <c r="U136" s="48"/>
    </row>
    <row r="137" spans="8:8" ht="29.7" hidden="1" customHeight="1">
      <c r="A137" s="22"/>
      <c r="B137" s="22"/>
      <c r="C137" s="22"/>
      <c r="D137" s="75" t="s">
        <v>468</v>
      </c>
      <c r="E137" s="98" t="s">
        <v>521</v>
      </c>
      <c r="F137" s="98" t="s">
        <v>487</v>
      </c>
      <c r="G137" s="98"/>
      <c r="H137" s="98"/>
      <c r="I137" s="78"/>
      <c r="J137" s="78"/>
      <c r="K137" s="78"/>
      <c r="L137" s="78"/>
      <c r="M137" s="75"/>
      <c r="N137" s="75"/>
      <c r="O137" s="75"/>
      <c r="P137" s="75"/>
      <c r="Q137" s="75"/>
      <c r="R137" s="75"/>
      <c r="S137" s="75"/>
      <c r="T137" s="91"/>
      <c r="U137" s="92"/>
    </row>
    <row r="138" spans="8:8" ht="29.7" hidden="1" customHeight="1">
      <c r="A138" s="22"/>
      <c r="B138" s="22"/>
      <c r="C138" s="22"/>
      <c r="D138" s="75" t="s">
        <v>476</v>
      </c>
      <c r="E138" s="98" t="s">
        <v>486</v>
      </c>
      <c r="F138" s="98" t="s">
        <v>487</v>
      </c>
      <c r="G138" s="98"/>
      <c r="H138" s="98"/>
      <c r="I138" s="78"/>
      <c r="J138" s="78"/>
      <c r="K138" s="78"/>
      <c r="L138" s="78"/>
      <c r="M138" s="75"/>
      <c r="N138" s="75"/>
      <c r="O138" s="75"/>
      <c r="P138" s="75"/>
      <c r="Q138" s="75"/>
      <c r="R138" s="75"/>
      <c r="S138" s="75"/>
      <c r="T138" s="91"/>
      <c r="U138" s="92"/>
    </row>
    <row r="139" spans="8:8" ht="34.95" customHeight="1">
      <c r="A139" s="22">
        <v>12.0</v>
      </c>
      <c r="B139" s="22"/>
      <c r="C139" s="22"/>
      <c r="D139" s="66" t="s">
        <v>62</v>
      </c>
      <c r="E139" s="66" t="s">
        <v>422</v>
      </c>
      <c r="F139" s="66" t="s">
        <v>20</v>
      </c>
      <c r="G139" s="66"/>
      <c r="H139" s="66"/>
      <c r="I139" s="109"/>
      <c r="J139" s="109"/>
      <c r="K139" s="109"/>
      <c r="L139" s="109">
        <f>IF(前置信息!$B$11="无",L145-60,L145-120)</f>
        <v>45816.0</v>
      </c>
      <c r="M139" s="66" t="s">
        <v>423</v>
      </c>
      <c r="N139" s="66" t="s">
        <v>423</v>
      </c>
      <c r="O139" s="66" t="s">
        <v>423</v>
      </c>
      <c r="P139" s="66" t="s">
        <v>423</v>
      </c>
      <c r="Q139" s="66" t="s">
        <v>423</v>
      </c>
      <c r="R139" s="66" t="s">
        <v>423</v>
      </c>
      <c r="S139" s="66" t="s">
        <v>423</v>
      </c>
      <c r="T139" s="55" t="s">
        <v>424</v>
      </c>
      <c r="U139" s="110"/>
    </row>
    <row r="140" spans="8:8" s="88" ht="34.95" hidden="1" customFormat="1" customHeight="1">
      <c r="A140" s="22"/>
      <c r="B140" s="22"/>
      <c r="C140" s="22"/>
      <c r="D140" s="90" t="s">
        <v>468</v>
      </c>
      <c r="E140" s="90" t="s">
        <v>484</v>
      </c>
      <c r="F140" s="90" t="s">
        <v>472</v>
      </c>
      <c r="G140" s="90"/>
      <c r="H140" s="90"/>
      <c r="I140" s="111"/>
      <c r="J140" s="111"/>
      <c r="K140" s="111"/>
      <c r="L140" s="111">
        <f>L139+60</f>
        <v>45876.0</v>
      </c>
      <c r="M140" s="90" t="s">
        <v>524</v>
      </c>
      <c r="N140" s="90"/>
      <c r="O140" s="90"/>
      <c r="P140" s="90"/>
      <c r="Q140" s="90"/>
      <c r="R140" s="90"/>
      <c r="S140" s="90"/>
      <c r="T140" s="91"/>
      <c r="U140" s="79"/>
    </row>
    <row r="141" spans="8:8" ht="31.2" hidden="1" customHeight="1">
      <c r="A141" s="22"/>
      <c r="B141" s="22">
        <v>38.0</v>
      </c>
      <c r="C141" s="22"/>
      <c r="D141" s="29" t="s">
        <v>15</v>
      </c>
      <c r="E141" s="29" t="s">
        <v>425</v>
      </c>
      <c r="F141" s="39" t="s">
        <v>52</v>
      </c>
      <c r="G141" s="39"/>
      <c r="H141" s="39"/>
      <c r="I141" s="68"/>
      <c r="J141" s="68"/>
      <c r="K141" s="68"/>
      <c r="L141" s="68">
        <f>L145-60</f>
        <v>45816.0</v>
      </c>
      <c r="M141" s="69" t="s">
        <v>426</v>
      </c>
      <c r="N141" s="69" t="s">
        <v>426</v>
      </c>
      <c r="O141" s="69" t="s">
        <v>426</v>
      </c>
      <c r="P141" s="69" t="s">
        <v>426</v>
      </c>
      <c r="Q141" s="69" t="s">
        <v>426</v>
      </c>
      <c r="R141" s="69" t="s">
        <v>426</v>
      </c>
      <c r="S141" s="69" t="s">
        <v>426</v>
      </c>
      <c r="T141" s="70" t="s">
        <v>427</v>
      </c>
      <c r="U141" s="71"/>
    </row>
    <row r="142" spans="8:8" ht="30.45" hidden="1" customHeight="1">
      <c r="A142" s="22"/>
      <c r="B142" s="22"/>
      <c r="C142" s="22">
        <v>83.0</v>
      </c>
      <c r="D142" s="43" t="s">
        <v>39</v>
      </c>
      <c r="E142" s="44" t="s">
        <v>428</v>
      </c>
      <c r="F142" s="43" t="s">
        <v>429</v>
      </c>
      <c r="G142" s="43"/>
      <c r="H142" s="43"/>
      <c r="I142" s="45"/>
      <c r="J142" s="45"/>
      <c r="K142" s="45"/>
      <c r="L142" s="45">
        <f>L145-30</f>
        <v>45846.0</v>
      </c>
      <c r="M142" s="43" t="s">
        <v>430</v>
      </c>
      <c r="N142" s="43" t="s">
        <v>430</v>
      </c>
      <c r="O142" s="43" t="s">
        <v>430</v>
      </c>
      <c r="P142" s="43" t="s">
        <v>430</v>
      </c>
      <c r="Q142" s="43" t="s">
        <v>430</v>
      </c>
      <c r="R142" s="43" t="s">
        <v>430</v>
      </c>
      <c r="S142" s="43" t="s">
        <v>430</v>
      </c>
      <c r="T142" s="47" t="s">
        <v>431</v>
      </c>
      <c r="U142" s="48"/>
    </row>
    <row r="143" spans="8:8" ht="30.45" hidden="1" customHeight="1">
      <c r="A143" s="22"/>
      <c r="B143" s="22"/>
      <c r="C143" s="22">
        <v>84.0</v>
      </c>
      <c r="D143" s="43" t="s">
        <v>39</v>
      </c>
      <c r="E143" s="44" t="s">
        <v>432</v>
      </c>
      <c r="F143" s="43" t="s">
        <v>52</v>
      </c>
      <c r="G143" s="43"/>
      <c r="H143" s="43"/>
      <c r="I143" s="45"/>
      <c r="J143" s="45"/>
      <c r="K143" s="45"/>
      <c r="L143" s="45">
        <f>L145-30</f>
        <v>45846.0</v>
      </c>
      <c r="M143" s="43" t="s">
        <v>430</v>
      </c>
      <c r="N143" s="43" t="s">
        <v>430</v>
      </c>
      <c r="O143" s="43" t="s">
        <v>430</v>
      </c>
      <c r="P143" s="43" t="s">
        <v>430</v>
      </c>
      <c r="Q143" s="43" t="s">
        <v>430</v>
      </c>
      <c r="R143" s="43" t="s">
        <v>430</v>
      </c>
      <c r="S143" s="43" t="s">
        <v>430</v>
      </c>
      <c r="T143" s="47" t="s">
        <v>433</v>
      </c>
      <c r="U143" s="48"/>
    </row>
    <row r="144" spans="8:8" ht="32.25" hidden="1" customHeight="1">
      <c r="A144" s="22"/>
      <c r="B144" s="22"/>
      <c r="C144" s="22">
        <v>85.0</v>
      </c>
      <c r="D144" s="43" t="s">
        <v>39</v>
      </c>
      <c r="E144" s="44" t="s">
        <v>434</v>
      </c>
      <c r="F144" s="44" t="s">
        <v>90</v>
      </c>
      <c r="G144" s="44"/>
      <c r="H144" s="44"/>
      <c r="I144" s="63"/>
      <c r="J144" s="63"/>
      <c r="K144" s="63"/>
      <c r="L144" s="63">
        <f>L145-10</f>
        <v>45866.0</v>
      </c>
      <c r="M144" s="44" t="s">
        <v>435</v>
      </c>
      <c r="N144" s="44" t="s">
        <v>435</v>
      </c>
      <c r="O144" s="44" t="s">
        <v>435</v>
      </c>
      <c r="P144" s="44" t="s">
        <v>435</v>
      </c>
      <c r="Q144" s="44" t="s">
        <v>435</v>
      </c>
      <c r="R144" s="44" t="s">
        <v>435</v>
      </c>
      <c r="S144" s="44" t="s">
        <v>435</v>
      </c>
      <c r="T144" s="64" t="s">
        <v>436</v>
      </c>
      <c r="U144" s="48" t="s">
        <v>151</v>
      </c>
    </row>
    <row r="145" spans="8:8" ht="31.95" customHeight="1">
      <c r="A145" s="22">
        <v>13.0</v>
      </c>
      <c r="B145" s="22"/>
      <c r="C145" s="22"/>
      <c r="D145" s="66" t="s">
        <v>62</v>
      </c>
      <c r="E145" s="112" t="s">
        <v>437</v>
      </c>
      <c r="F145" s="53" t="s">
        <v>68</v>
      </c>
      <c r="G145" s="53"/>
      <c r="H145" s="53"/>
      <c r="I145" s="109"/>
      <c r="J145" s="109"/>
      <c r="K145" s="109"/>
      <c r="L145" s="109">
        <f>IF(前置信息!$B$10="精装",IF(前置信息!$B$8&lt;=11,'节点计划 (终稿)'!L100+14*30,'节点计划 (终稿)'!L100+15*30),IF(前置信息!$B$8&lt;=11,'节点计划 (终稿)'!L100+11*30,'节点计划 (终稿)'!L100+12*30))</f>
        <v>45876.0</v>
      </c>
      <c r="M145" s="66" t="s">
        <v>438</v>
      </c>
      <c r="N145" s="66" t="s">
        <v>439</v>
      </c>
      <c r="O145" s="66" t="s">
        <v>439</v>
      </c>
      <c r="P145" s="66" t="s">
        <v>439</v>
      </c>
      <c r="Q145" s="66" t="s">
        <v>440</v>
      </c>
      <c r="R145" s="66" t="s">
        <v>441</v>
      </c>
      <c r="S145" s="66" t="s">
        <v>442</v>
      </c>
      <c r="T145" s="55" t="s">
        <v>443</v>
      </c>
      <c r="U145" s="110"/>
    </row>
    <row r="146" spans="8:8" ht="31.95" hidden="1" customHeight="1">
      <c r="A146" s="22"/>
      <c r="B146" s="22">
        <v>39.0</v>
      </c>
      <c r="C146" s="22"/>
      <c r="D146" s="29" t="s">
        <v>15</v>
      </c>
      <c r="E146" s="29" t="s">
        <v>444</v>
      </c>
      <c r="F146" s="39" t="s">
        <v>68</v>
      </c>
      <c r="G146" s="39"/>
      <c r="H146" s="39"/>
      <c r="I146" s="68"/>
      <c r="J146" s="68"/>
      <c r="K146" s="68"/>
      <c r="L146" s="68">
        <f>L145+90</f>
        <v>45966.0</v>
      </c>
      <c r="M146" s="69" t="s">
        <v>445</v>
      </c>
      <c r="N146" s="69" t="s">
        <v>445</v>
      </c>
      <c r="O146" s="69" t="s">
        <v>445</v>
      </c>
      <c r="P146" s="69" t="s">
        <v>445</v>
      </c>
      <c r="Q146" s="69" t="s">
        <v>445</v>
      </c>
      <c r="R146" s="69" t="s">
        <v>445</v>
      </c>
      <c r="S146" s="69" t="s">
        <v>445</v>
      </c>
      <c r="T146" s="70"/>
      <c r="U146" s="71"/>
    </row>
    <row r="147" spans="8:8" ht="60.0" hidden="1">
      <c r="A147" s="22"/>
      <c r="B147" s="22"/>
      <c r="C147" s="22">
        <v>86.0</v>
      </c>
      <c r="D147" s="43" t="s">
        <v>39</v>
      </c>
      <c r="E147" s="44" t="s">
        <v>446</v>
      </c>
      <c r="F147" s="43" t="s">
        <v>64</v>
      </c>
      <c r="G147" s="43"/>
      <c r="H147" s="43"/>
      <c r="I147" s="45"/>
      <c r="J147" s="45"/>
      <c r="K147" s="45"/>
      <c r="L147" s="45">
        <f>L145+90</f>
        <v>45966.0</v>
      </c>
      <c r="M147" s="43" t="s">
        <v>447</v>
      </c>
      <c r="N147" s="43" t="s">
        <v>447</v>
      </c>
      <c r="O147" s="43" t="s">
        <v>447</v>
      </c>
      <c r="P147" s="43" t="s">
        <v>447</v>
      </c>
      <c r="Q147" s="43" t="s">
        <v>447</v>
      </c>
      <c r="R147" s="43" t="s">
        <v>447</v>
      </c>
      <c r="S147" s="43" t="s">
        <v>447</v>
      </c>
      <c r="T147" s="64" t="s">
        <v>448</v>
      </c>
      <c r="U147" s="48" t="s">
        <v>449</v>
      </c>
    </row>
    <row r="148" spans="8:8" ht="27.45" hidden="1" customHeight="1">
      <c r="A148" s="22"/>
      <c r="B148" s="22"/>
      <c r="C148" s="22">
        <v>87.0</v>
      </c>
      <c r="D148" s="43" t="s">
        <v>39</v>
      </c>
      <c r="E148" s="44" t="s">
        <v>450</v>
      </c>
      <c r="F148" s="43" t="s">
        <v>20</v>
      </c>
      <c r="G148" s="43"/>
      <c r="H148" s="43"/>
      <c r="I148" s="45"/>
      <c r="J148" s="45"/>
      <c r="K148" s="45"/>
      <c r="L148" s="45">
        <f>L145+90</f>
        <v>45966.0</v>
      </c>
      <c r="M148" s="43" t="s">
        <v>447</v>
      </c>
      <c r="N148" s="43" t="s">
        <v>447</v>
      </c>
      <c r="O148" s="43" t="s">
        <v>447</v>
      </c>
      <c r="P148" s="43" t="s">
        <v>447</v>
      </c>
      <c r="Q148" s="43" t="s">
        <v>447</v>
      </c>
      <c r="R148" s="43" t="s">
        <v>447</v>
      </c>
      <c r="S148" s="43" t="s">
        <v>447</v>
      </c>
      <c r="T148" s="47" t="s">
        <v>451</v>
      </c>
      <c r="U148" s="48"/>
    </row>
    <row r="149" spans="8:8" ht="28.95" hidden="1" customHeight="1">
      <c r="A149" s="22"/>
      <c r="B149" s="22"/>
      <c r="C149" s="22">
        <v>88.0</v>
      </c>
      <c r="D149" s="43" t="s">
        <v>39</v>
      </c>
      <c r="E149" s="44" t="s">
        <v>452</v>
      </c>
      <c r="F149" s="43" t="s">
        <v>90</v>
      </c>
      <c r="G149" s="43"/>
      <c r="H149" s="43"/>
      <c r="I149" s="45"/>
      <c r="J149" s="45"/>
      <c r="K149" s="45"/>
      <c r="L149" s="45">
        <f>L139+180</f>
        <v>45996.0</v>
      </c>
      <c r="M149" s="43" t="s">
        <v>453</v>
      </c>
      <c r="N149" s="43" t="s">
        <v>453</v>
      </c>
      <c r="O149" s="43" t="s">
        <v>453</v>
      </c>
      <c r="P149" s="43" t="s">
        <v>453</v>
      </c>
      <c r="Q149" s="43" t="s">
        <v>453</v>
      </c>
      <c r="R149" s="43" t="s">
        <v>453</v>
      </c>
      <c r="S149" s="43" t="s">
        <v>453</v>
      </c>
      <c r="T149" s="64" t="s">
        <v>454</v>
      </c>
      <c r="U149" s="48" t="s">
        <v>151</v>
      </c>
    </row>
    <row r="150" spans="8:8" ht="28.95" hidden="1" customHeight="1">
      <c r="A150" s="22"/>
      <c r="B150" s="22"/>
      <c r="C150" s="22">
        <v>89.0</v>
      </c>
      <c r="D150" s="43" t="s">
        <v>39</v>
      </c>
      <c r="E150" s="43" t="s">
        <v>455</v>
      </c>
      <c r="F150" s="43" t="s">
        <v>90</v>
      </c>
      <c r="G150" s="43"/>
      <c r="H150" s="43"/>
      <c r="I150" s="45"/>
      <c r="J150" s="45"/>
      <c r="K150" s="45"/>
      <c r="L150" s="45">
        <f>L149+5</f>
        <v>46001.0</v>
      </c>
      <c r="M150" s="43" t="s">
        <v>456</v>
      </c>
      <c r="N150" s="43" t="s">
        <v>456</v>
      </c>
      <c r="O150" s="43" t="s">
        <v>456</v>
      </c>
      <c r="P150" s="43" t="s">
        <v>456</v>
      </c>
      <c r="Q150" s="43" t="s">
        <v>456</v>
      </c>
      <c r="R150" s="43" t="s">
        <v>456</v>
      </c>
      <c r="S150" s="43" t="s">
        <v>456</v>
      </c>
      <c r="T150" s="113" t="s">
        <v>457</v>
      </c>
      <c r="U150" s="48" t="s">
        <v>151</v>
      </c>
    </row>
    <row r="151" spans="8:8" ht="27.0" hidden="1" customHeight="1">
      <c r="A151" s="22"/>
      <c r="B151" s="22">
        <v>40.0</v>
      </c>
      <c r="C151" s="22"/>
      <c r="D151" s="29" t="s">
        <v>15</v>
      </c>
      <c r="E151" s="29" t="s">
        <v>458</v>
      </c>
      <c r="F151" s="39" t="s">
        <v>459</v>
      </c>
      <c r="G151" s="39"/>
      <c r="H151" s="39"/>
      <c r="I151" s="68"/>
      <c r="J151" s="68"/>
      <c r="K151" s="68"/>
      <c r="L151" s="68">
        <f>L145+180</f>
        <v>46056.0</v>
      </c>
      <c r="M151" s="69" t="s">
        <v>460</v>
      </c>
      <c r="N151" s="69" t="s">
        <v>460</v>
      </c>
      <c r="O151" s="69" t="s">
        <v>460</v>
      </c>
      <c r="P151" s="69" t="s">
        <v>460</v>
      </c>
      <c r="Q151" s="69" t="s">
        <v>460</v>
      </c>
      <c r="R151" s="69" t="s">
        <v>460</v>
      </c>
      <c r="S151" s="69" t="s">
        <v>460</v>
      </c>
      <c r="T151" s="71" t="s">
        <v>475</v>
      </c>
      <c r="U151" s="71" t="s">
        <v>461</v>
      </c>
    </row>
    <row r="152" spans="8:8" ht="25.95" hidden="1" customHeight="1">
      <c r="A152" s="114" t="s">
        <v>462</v>
      </c>
      <c r="B152" s="115"/>
      <c r="C152" s="115"/>
      <c r="D152" s="115"/>
      <c r="E152" s="115"/>
      <c r="F152" s="116"/>
      <c r="G152" s="116"/>
      <c r="H152" s="116"/>
      <c r="I152" s="117"/>
      <c r="J152" s="117"/>
      <c r="K152" s="117"/>
      <c r="L152" s="117"/>
      <c r="M152" s="116"/>
      <c r="N152" s="116"/>
      <c r="O152" s="118"/>
      <c r="P152" s="118"/>
      <c r="Q152" s="118"/>
      <c r="R152" s="118"/>
      <c r="S152" s="118"/>
      <c r="T152" s="118"/>
      <c r="U152" s="119"/>
    </row>
  </sheetData>
  <autoFilter ref="A3:U152">
    <filterColumn colId="3" showButton="1">
      <filters>
        <filter val="里程碑"/>
      </filters>
    </filterColumn>
  </autoFilter>
  <mergeCells count="2">
    <mergeCell ref="A1:D1"/>
    <mergeCell ref="D2:U2"/>
  </mergeCells>
  <pageMargins left="0.7" right="0.7" top="0.75" bottom="0.75" header="0.3" footer="0.3"/>
  <pageSetup paperSize="8" scale="10"/>
</worksheet>
</file>

<file path=xl/worksheets/sheet3.xml><?xml version="1.0" encoding="utf-8"?>
<worksheet xmlns:r="http://schemas.openxmlformats.org/officeDocument/2006/relationships" xmlns="http://schemas.openxmlformats.org/spreadsheetml/2006/main">
  <dimension ref="A39:L44"/>
  <sheetViews>
    <sheetView workbookViewId="0" zoomScale="52">
      <selection activeCell="F26" sqref="F26"/>
    </sheetView>
  </sheetViews>
  <sheetFormatPr defaultRowHeight="13.8" defaultColWidth="10"/>
  <cols>
    <col min="2" max="2" customWidth="1" bestFit="1" width="11.6640625" style="0"/>
    <col min="3" max="3" customWidth="1" bestFit="1" width="9.5546875" style="0"/>
    <col min="4" max="4" customWidth="1" bestFit="1" width="11.6640625" style="0"/>
    <col min="5" max="5" customWidth="1" bestFit="1" width="13.886719" style="0"/>
    <col min="6" max="6" customWidth="1" bestFit="1" width="16.109375" style="0"/>
    <col min="7" max="7" customWidth="1" bestFit="1" width="13.886719" style="0"/>
    <col min="10" max="10" customWidth="1" bestFit="1" width="13.886719" style="0"/>
    <col min="11" max="11" customWidth="1" bestFit="1" width="15.332031" style="0"/>
  </cols>
  <sheetData>
    <row r="40" spans="8:8">
      <c r="A40" s="3" t="s">
        <v>503</v>
      </c>
      <c r="B40" s="3" t="s">
        <v>491</v>
      </c>
      <c r="C40" s="3" t="s">
        <v>492</v>
      </c>
      <c r="D40" s="3" t="s">
        <v>496</v>
      </c>
      <c r="E40" s="3" t="s">
        <v>497</v>
      </c>
      <c r="F40" s="3" t="s">
        <v>498</v>
      </c>
      <c r="G40" s="3" t="s">
        <v>502</v>
      </c>
      <c r="H40" s="3" t="s">
        <v>511</v>
      </c>
      <c r="I40" s="5" t="s">
        <v>512</v>
      </c>
      <c r="J40" s="5" t="s">
        <v>516</v>
      </c>
      <c r="K40" s="5" t="s">
        <v>517</v>
      </c>
    </row>
    <row r="41" spans="8:8">
      <c r="A41" s="3" t="s">
        <v>505</v>
      </c>
      <c r="B41" s="120">
        <v>1.0</v>
      </c>
      <c r="C41" s="3" t="s">
        <v>495</v>
      </c>
      <c r="D41" s="3" t="s">
        <v>508</v>
      </c>
      <c r="E41" s="120">
        <v>0.0</v>
      </c>
      <c r="F41" s="3" t="s">
        <v>500</v>
      </c>
      <c r="G41" s="120"/>
      <c r="H41" s="3" t="s">
        <v>508</v>
      </c>
      <c r="I41" s="3" t="s">
        <v>513</v>
      </c>
      <c r="J41" s="3" t="s">
        <v>508</v>
      </c>
      <c r="K41" s="5" t="s">
        <v>519</v>
      </c>
    </row>
    <row r="42" spans="8:8">
      <c r="A42" s="3" t="s">
        <v>506</v>
      </c>
      <c r="B42" s="120">
        <v>2.0</v>
      </c>
      <c r="C42" s="3" t="s">
        <v>493</v>
      </c>
      <c r="D42" s="3" t="s">
        <v>510</v>
      </c>
      <c r="E42" s="120">
        <v>1.0</v>
      </c>
      <c r="F42" s="3" t="s">
        <v>501</v>
      </c>
      <c r="G42" s="120"/>
      <c r="H42" s="3" t="s">
        <v>510</v>
      </c>
      <c r="I42" s="3" t="s">
        <v>515</v>
      </c>
      <c r="J42" s="3" t="s">
        <v>510</v>
      </c>
      <c r="K42" s="5" t="s">
        <v>520</v>
      </c>
    </row>
    <row r="43" spans="8:8">
      <c r="A43" s="120"/>
      <c r="B43" s="120"/>
      <c r="C43" s="120"/>
      <c r="D43" s="120"/>
      <c r="E43" s="120">
        <v>2.0</v>
      </c>
      <c r="F43" s="120"/>
      <c r="G43" s="120"/>
      <c r="H43" s="120"/>
      <c r="I43" s="120"/>
      <c r="J43" s="120"/>
      <c r="K43" s="120"/>
    </row>
    <row r="44" spans="8:8">
      <c r="A44" s="120"/>
      <c r="B44" s="120"/>
      <c r="C44" s="120"/>
      <c r="D44" s="120"/>
      <c r="E44" s="120">
        <v>3.0</v>
      </c>
      <c r="F44" s="120"/>
      <c r="G44" s="120"/>
      <c r="H44" s="120"/>
      <c r="I44" s="120"/>
      <c r="J44" s="120"/>
      <c r="K44" s="120"/>
    </row>
  </sheetData>
  <pageMargins left="0.7" right="0.7" top="0.75" bottom="0.75" header="0.3" footer="0.3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B4"/>
  <sheetViews>
    <sheetView workbookViewId="0">
      <selection activeCell="A4" sqref="A4"/>
    </sheetView>
  </sheetViews>
  <sheetFormatPr defaultRowHeight="13.8" defaultColWidth="10"/>
  <cols>
    <col min="1" max="1" customWidth="1" bestFit="1" width="10.5546875" style="0"/>
  </cols>
  <sheetData>
    <row r="2" spans="8:8">
      <c r="A2" s="121">
        <v>46217.0</v>
      </c>
    </row>
    <row r="3" spans="8:8">
      <c r="A3" s="121">
        <v>46995.0</v>
      </c>
    </row>
    <row r="4" spans="8:8">
      <c r="A4">
        <f>(A3-A2)/30</f>
        <v>25.933333333333334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Tencent Document</dc:creator>
  <cp:lastModifiedBy>喆 汤</cp:lastModifiedBy>
  <dcterms:created xsi:type="dcterms:W3CDTF">2022-04-25T00:22:00Z</dcterms:created>
  <dcterms:modified xsi:type="dcterms:W3CDTF">2026-08-28T01:43:09Z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1B7B946A73494CDF8CCAFF759C98E5CF</vt:lpwstr>
  </property>
  <property fmtid="{D5CDD505-2E9C-101B-9397-08002B2CF9AE}" pid="3" name="KSOProductBuildVer">
    <vt:lpwstr>2052-11.1.0.14036</vt:lpwstr>
  </property>
</Properties>
</file>